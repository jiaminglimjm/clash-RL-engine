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Retro 80 Cards" sheetId="2" state="visible" r:id="rId3"/>
    <sheet name="Hidden Stat Guide" sheetId="3" state="visible" r:id="rId4"/>
    <sheet name="Source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<sst xmlns="http://schemas.openxmlformats.org/spreadsheetml/2006/main" count="2003" uniqueCount="768">
  <si>
    <t xml:space="preserve">Retro Royale Card Stats Workbook</t>
  </si>
  <si>
    <t xml:space="preserve">Scope</t>
  </si>
  <si>
    <t xml:space="preserve">All 80 Retro Royale cards listed in the Retro Royale event pool. Tower Princess is not included in the 80 deck cards; it is a tower troop listed separately by the wiki.</t>
  </si>
  <si>
    <t xml:space="preserve">Baseline</t>
  </si>
  <si>
    <t xml:space="preserve">Tournament/friendly Level 11 where numeric card stats are available from public stat pages.</t>
  </si>
  <si>
    <t xml:space="preserve">Important caveat</t>
  </si>
  <si>
    <t xml:space="preserve">Hidden mass, collision radius, sight range, projectile speeds, and splash/area radii are sourced from the AesDragon hidden-stat tables and legacy datamine references. They are not shown in-game, so they are marked as hidden/community-derived rather than missing.</t>
  </si>
  <si>
    <t xml:space="preserve">What is included</t>
  </si>
  <si>
    <t xml:space="preserve">Type, rarity, elixir, unit count/spawns, targets, movement speed, range/radius, hit cadence, deploy/cast time, duration/lifetime, Level 11 HP/damage/effects, projectile/attack object, projectile speed, mass/weight, collision radius, sight range, splash/AoE radius, quirks, and row-wise source URLs.</t>
  </si>
  <si>
    <t xml:space="preserve">Useful filters</t>
  </si>
  <si>
    <t xml:space="preserve">Filter the main sheet by Type, Rarity, Data coverage, AoE/splash radius, source URLs, projectile/mass/collision/sight columns, or specific quirks.</t>
  </si>
  <si>
    <t xml:space="preserve">Generated</t>
  </si>
  <si>
    <t xml:space="preserve">2026-04-30</t>
  </si>
  <si>
    <t xml:space="preserve">Rows in main table</t>
  </si>
  <si>
    <t xml:space="preserve">Troops</t>
  </si>
  <si>
    <t xml:space="preserve">Spells</t>
  </si>
  <si>
    <t xml:space="preserve">Buildings</t>
  </si>
  <si>
    <t xml:space="preserve">Quick counts</t>
  </si>
  <si>
    <t xml:space="preserve">Formula</t>
  </si>
  <si>
    <t xml:space="preserve">Common</t>
  </si>
  <si>
    <t xml:space="preserve">Rare</t>
  </si>
  <si>
    <t xml:space="preserve">Epic</t>
  </si>
  <si>
    <t xml:space="preserve">Legendary</t>
  </si>
  <si>
    <t xml:space="preserve">Rows cross-checked against hidden-stat tables</t>
  </si>
  <si>
    <t xml:space="preserve">#</t>
  </si>
  <si>
    <t xml:space="preserve">Card</t>
  </si>
  <si>
    <t xml:space="preserve">Type</t>
  </si>
  <si>
    <t xml:space="preserve">Rarity</t>
  </si>
  <si>
    <t xml:space="preserve">Elixir</t>
  </si>
  <si>
    <t xml:space="preserve">Count / spawned units</t>
  </si>
  <si>
    <t xml:space="preserve">Targets</t>
  </si>
  <si>
    <t xml:space="preserve">Movement speed category</t>
  </si>
  <si>
    <t xml:space="preserve">Movement speed number</t>
  </si>
  <si>
    <t xml:space="preserve">Range / radius (tiles)</t>
  </si>
  <si>
    <t xml:space="preserve">Hit speed / cadence</t>
  </si>
  <si>
    <t xml:space="preserve">First hit speed</t>
  </si>
  <si>
    <t xml:space="preserve">Load time</t>
  </si>
  <si>
    <t xml:space="preserve">Deploy / cast time</t>
  </si>
  <si>
    <t xml:space="preserve">Lifetime / duration</t>
  </si>
  <si>
    <t xml:space="preserve">Level 11 HP / health</t>
  </si>
  <si>
    <t xml:space="preserve">Shield HP</t>
  </si>
  <si>
    <t xml:space="preserve">Level 11 damage / effect</t>
  </si>
  <si>
    <t xml:space="preserve">DPS / total damage note</t>
  </si>
  <si>
    <t xml:space="preserve">Projectile / attack object</t>
  </si>
  <si>
    <t xml:space="preserve">Projectile speed (tiles/min)</t>
  </si>
  <si>
    <t xml:space="preserve">Mass / weight</t>
  </si>
  <si>
    <t xml:space="preserve">Collision radius (tiles)</t>
  </si>
  <si>
    <t xml:space="preserve">Sight range</t>
  </si>
  <si>
    <t xml:space="preserve">Quirks / mechanics</t>
  </si>
  <si>
    <t xml:space="preserve">Data coverage</t>
  </si>
  <si>
    <t xml:space="preserve">Card stats source URL</t>
  </si>
  <si>
    <t xml:space="preserve">Hidden stat source URL</t>
  </si>
  <si>
    <t xml:space="preserve">Datamine source URL</t>
  </si>
  <si>
    <t xml:space="preserve">Notes</t>
  </si>
  <si>
    <t xml:space="preserve">Splash / AoE radius (tiles)</t>
  </si>
  <si>
    <t xml:space="preserve">Splash / AoE type / source note</t>
  </si>
  <si>
    <t xml:space="preserve">Minions</t>
  </si>
  <si>
    <t xml:space="preserve">Troop</t>
  </si>
  <si>
    <t xml:space="preserve">3</t>
  </si>
  <si>
    <t xml:space="preserve">Air &amp; ground</t>
  </si>
  <si>
    <t xml:space="preserve">Fast</t>
  </si>
  <si>
    <t xml:space="preserve">2.5</t>
  </si>
  <si>
    <t xml:space="preserve">1.0</t>
  </si>
  <si>
    <t xml:space="preserve">N/A</t>
  </si>
  <si>
    <t xml:space="preserve">230</t>
  </si>
  <si>
    <t xml:space="preserve">107 per Minion</t>
  </si>
  <si>
    <t xml:space="preserve">See damage/effect note</t>
  </si>
  <si>
    <t xml:space="preserve">Attack projectile</t>
  </si>
  <si>
    <t xml:space="preserve">1000 attack</t>
  </si>
  <si>
    <t xml:space="preserve">Flying swarm; formerly ranged-like attack/projectile data exists.</t>
  </si>
  <si>
    <t xml:space="preserve">Level 11 public stats included where verified; hidden fields (mass/collision/sight/projectile/splash) cross-checked against AesDragon hidden-stat tables. N/A means not applicable.</t>
  </si>
  <si>
    <t xml:space="preserve">https://www.deckshop.pro/card/stats
https://www.deckshop.pro/card/hitpoints
https://deckmelon.com/cards/minions
https://clashroyale.fandom.com/wiki/Minions</t>
  </si>
  <si>
    <t xml:space="preserve"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t>
  </si>
  <si>
    <t xml:space="preserve">https://github.com/smlbiobot/cr-csv/blob/master/assets/csv_logic/characters.csv
https://github.com/smlbiobot/cr-csv/blob/master/assets/csv_logic/projectiles.csv</t>
  </si>
  <si>
    <t xml:space="preserve">Current L11 from Deck Shop/overview; ranged flying swarm.</t>
  </si>
  <si>
    <t xml:space="preserve">Single-target / no splash or AoE</t>
  </si>
  <si>
    <t xml:space="preserve">Archers</t>
  </si>
  <si>
    <t xml:space="preserve">2</t>
  </si>
  <si>
    <t xml:space="preserve">Medium</t>
  </si>
  <si>
    <t xml:space="preserve">5.0</t>
  </si>
  <si>
    <t xml:space="preserve">304</t>
  </si>
  <si>
    <t xml:space="preserve">112 per Archer</t>
  </si>
  <si>
    <t xml:space="preserve">ArcherArrow</t>
  </si>
  <si>
    <t xml:space="preserve">600 attack</t>
  </si>
  <si>
    <t xml:space="preserve">Two ranged units; can split at deployment.</t>
  </si>
  <si>
    <t xml:space="preserve">https://www.deckshop.pro/card/stats
https://www.deckshop.pro/card/hitpoints
https://deckmelon.com/cards/archers
https://clashroyale.fandom.com/wiki/Archers</t>
  </si>
  <si>
    <t xml:space="preserve">Current L11 from Deckmelon/Deck Shop; two ranged units.</t>
  </si>
  <si>
    <t xml:space="preserve">Knight</t>
  </si>
  <si>
    <t xml:space="preserve">1</t>
  </si>
  <si>
    <t xml:space="preserve">Ground</t>
  </si>
  <si>
    <t xml:space="preserve">1.2</t>
  </si>
  <si>
    <t xml:space="preserve">1,766</t>
  </si>
  <si>
    <t xml:space="preserve">202</t>
  </si>
  <si>
    <t xml:space="preserve">Melee / no projectile</t>
  </si>
  <si>
    <t xml:space="preserve">—</t>
  </si>
  <si>
    <t xml:space="preserve">Low-cost mini-tank; no projectile.</t>
  </si>
  <si>
    <t xml:space="preserve">https://www.deckshop.pro/card/stats
https://www.deckshop.pro/card/hitpoints
https://deckmelon.com/cards/knight
https://clashroyale.fandom.com/wiki/Knight</t>
  </si>
  <si>
    <t xml:space="preserve">Current L11 from Deckmelon/Deck Shop; mini-tank melee.</t>
  </si>
  <si>
    <t xml:space="preserve">Spear Goblins</t>
  </si>
  <si>
    <t xml:space="preserve">Very Fast</t>
  </si>
  <si>
    <t xml:space="preserve">133</t>
  </si>
  <si>
    <t xml:space="preserve">81 per Spear Goblin</t>
  </si>
  <si>
    <t xml:space="preserve">SpearGoblinProjectile</t>
  </si>
  <si>
    <t xml:space="preserve">500 attack</t>
  </si>
  <si>
    <t xml:space="preserve">Three very-fast ranged goblins; fragile chip and air coverage.</t>
  </si>
  <si>
    <t xml:space="preserve">https://www.deckshop.pro/card/stats
https://www.deckshop.pro/card/hitpoints
https://deckmelon.com/cards/spear-goblins
https://clashroyale.fandom.com/wiki/Spear_Goblins</t>
  </si>
  <si>
    <t xml:space="preserve">Current L11 from Deckmelon.</t>
  </si>
  <si>
    <t xml:space="preserve">Goblins</t>
  </si>
  <si>
    <t xml:space="preserve">4</t>
  </si>
  <si>
    <t xml:space="preserve">0.5</t>
  </si>
  <si>
    <t xml:space="preserve">120 per Goblin</t>
  </si>
  <si>
    <t xml:space="preserve">Four very-fast melee goblins; high DPS per elixir.</t>
  </si>
  <si>
    <t xml:space="preserve">https://www.deckshop.pro/card/stats
https://www.deckshop.pro/card/hitpoints
https://deckmelon.com/cards/goblins
https://clashroyale.fandom.com/wiki/Goblins</t>
  </si>
  <si>
    <t xml:space="preserve">Current L11 from Deck Shop; melee swarm.</t>
  </si>
  <si>
    <t xml:space="preserve">Bomber</t>
  </si>
  <si>
    <t xml:space="preserve">4.5</t>
  </si>
  <si>
    <t xml:space="preserve">225 area</t>
  </si>
  <si>
    <t xml:space="preserve">BombSkeletonProjectile</t>
  </si>
  <si>
    <t xml:space="preserve">400 attack</t>
  </si>
  <si>
    <t xml:space="preserve">Ground-only splash projectile; cannot hit air.</t>
  </si>
  <si>
    <t xml:space="preserve">https://www.deckshop.pro/card/stats
https://www.deckshop.pro/card/hitpoints
https://deckmelon.com/cards/bomber
https://clashroyale.fandom.com/wiki/Bomber</t>
  </si>
  <si>
    <t xml:space="preserve">Current L11 from Deck Shop; ground splash.</t>
  </si>
  <si>
    <t xml:space="preserve">1.5</t>
  </si>
  <si>
    <t xml:space="preserve">Non-homing ground splash</t>
  </si>
  <si>
    <t xml:space="preserve">Skeletons</t>
  </si>
  <si>
    <t xml:space="preserve">81</t>
  </si>
  <si>
    <t xml:space="preserve">81 per Skeleton</t>
  </si>
  <si>
    <t xml:space="preserve">Three 1-elixir skeletons; cycle/distraction card.</t>
  </si>
  <si>
    <t xml:space="preserve">https://www.deckshop.pro/card/stats
https://www.deckshop.pro/card/hitpoints
https://deckmelon.com/cards/skeletons
https://clashroyale.fandom.com/wiki/Skeletons</t>
  </si>
  <si>
    <t xml:space="preserve">Current L11 from Deck Shop; cheap swarm.</t>
  </si>
  <si>
    <t xml:space="preserve">Barbarians</t>
  </si>
  <si>
    <t xml:space="preserve">5</t>
  </si>
  <si>
    <t xml:space="preserve">0.7</t>
  </si>
  <si>
    <t xml:space="preserve">670</t>
  </si>
  <si>
    <t xml:space="preserve">192 per Barbarian</t>
  </si>
  <si>
    <t xml:space="preserve">Five melee units; strong ground DPS but spell-vulnerable.</t>
  </si>
  <si>
    <t xml:space="preserve">https://www.deckshop.pro/card/stats
https://www.deckshop.pro/card/hitpoints
https://deckmelon.com/cards/barbarians
https://clashroyale.fandom.com/wiki/Barbarians</t>
  </si>
  <si>
    <t xml:space="preserve">Current L11 via Barbarian Hut/Barbarians source; 5 units.</t>
  </si>
  <si>
    <t xml:space="preserve">Fire Spirit</t>
  </si>
  <si>
    <t xml:space="preserve">Kamikaze</t>
  </si>
  <si>
    <t xml:space="preserve">207 area</t>
  </si>
  <si>
    <t xml:space="preserve">Jumps, self-destructs, area damage, can hit air.</t>
  </si>
  <si>
    <t xml:space="preserve">https://www.deckshop.pro/card/stats
https://www.deckshop.pro/card/hitpoints
https://deckmelon.com/cards/fire-spirit
https://clashroyale.fandom.com/wiki/Fire_Spirit</t>
  </si>
  <si>
    <t xml:space="preserve">Current L11 from Deck Shop/Furnace source; jump/splash.</t>
  </si>
  <si>
    <t xml:space="preserve">1.7</t>
  </si>
  <si>
    <t xml:space="preserve">Homing explosion</t>
  </si>
  <si>
    <t xml:space="preserve">Bats</t>
  </si>
  <si>
    <t xml:space="preserve">81 per Bat</t>
  </si>
  <si>
    <t xml:space="preserve">Five flying melee swarm units; very fragile.</t>
  </si>
  <si>
    <t xml:space="preserve">https://www.deckshop.pro/card/stats
https://www.deckshop.pro/card/hitpoints
https://deckmelon.com/cards/bats
https://clashroyale.fandom.com/wiki/Bats</t>
  </si>
  <si>
    <t xml:space="preserve">Royal Giant</t>
  </si>
  <si>
    <t xml:space="preserve">Slow</t>
  </si>
  <si>
    <t xml:space="preserve">3,164</t>
  </si>
  <si>
    <t xml:space="preserve">307</t>
  </si>
  <si>
    <t xml:space="preserve">RoyalGiantProjectile</t>
  </si>
  <si>
    <t xml:space="preserve">Ranged building-targeting win condition.</t>
  </si>
  <si>
    <t xml:space="preserve">https://www.deckshop.pro/card/stats
https://www.deckshop.pro/card/hitpoints
https://deckmelon.com/cards/royal-giant
https://clashroyale.fandom.com/wiki/Royal_Giant</t>
  </si>
  <si>
    <t xml:space="preserve">Current L11 from Deckmelon/Deck Shop.</t>
  </si>
  <si>
    <t xml:space="preserve">Ice Spirit</t>
  </si>
  <si>
    <t xml:space="preserve">110 area + freeze</t>
  </si>
  <si>
    <t xml:space="preserve">Jumps, self-destructs, freezes/stuns in small area.</t>
  </si>
  <si>
    <t xml:space="preserve">https://www.deckshop.pro/card/stats
https://www.deckshop.pro/card/hitpoints
https://deckmelon.com/cards/ice-spirit
https://clashroyale.fandom.com/wiki/Ice_Spirit</t>
  </si>
  <si>
    <t xml:space="preserve">Current L11 from Deck Shop; freeze duration 1.1s.</t>
  </si>
  <si>
    <t xml:space="preserve">Homing freeze explosion</t>
  </si>
  <si>
    <t xml:space="preserve">Skeleton Barrel</t>
  </si>
  <si>
    <t xml:space="preserve">1 barrel + Skeletons on drop</t>
  </si>
  <si>
    <t xml:space="preserve">Buildings while airborne; Skeletons target ground after drop</t>
  </si>
  <si>
    <t xml:space="preserve">0.35 death/drop; barrel impact</t>
  </si>
  <si>
    <t xml:space="preserve">Death/drop then Skeleton attacks</t>
  </si>
  <si>
    <t xml:space="preserve">532</t>
  </si>
  <si>
    <t xml:space="preserve">145 death damage + spawns Skeletons</t>
  </si>
  <si>
    <t xml:space="preserve">Death/drop barrel + Skeleton spawns</t>
  </si>
  <si>
    <t xml:space="preserve">Flying building-targeter; drops Skeletons on death/arrival.</t>
  </si>
  <si>
    <t xml:space="preserve">https://www.deckshop.pro/card/stats
https://www.deckshop.pro/card/hitpoints
https://deckmelon.com/cards/skeleton-barrel
https://clashroyale.fandom.com/wiki/Skeleton_Barrel
https://decksforcr.com/card/detail/skeleton-barrel/</t>
  </si>
  <si>
    <t xml:space="preserve">Updated: L11 HP/death damage verified; splash radius added.</t>
  </si>
  <si>
    <t xml:space="preserve">2.0</t>
  </si>
  <si>
    <t xml:space="preserve">360° death/drop AoE</t>
  </si>
  <si>
    <t xml:space="preserve">Goblin Gang</t>
  </si>
  <si>
    <t xml:space="preserve">3 Goblins + 3 Spear Goblins</t>
  </si>
  <si>
    <t xml:space="preserve">Ground + air &amp; ground mix</t>
  </si>
  <si>
    <t xml:space="preserve">0.5/5.0</t>
  </si>
  <si>
    <t xml:space="preserve">1.1 Goblins / 1.7 Spear Goblins</t>
  </si>
  <si>
    <t xml:space="preserve">202 Goblin / 133 Spear Goblin</t>
  </si>
  <si>
    <t xml:space="preserve">120 Goblin / 81 Spear Goblin</t>
  </si>
  <si>
    <t xml:space="preserve">2 per spawned unit</t>
  </si>
  <si>
    <t xml:space="preserve">Mixed melee/ranged swarm; combines Goblins and Spear Goblins.</t>
  </si>
  <si>
    <t xml:space="preserve">https://www.deckshop.pro/card/stats
https://www.deckshop.pro/card/hitpoints
https://deckmelon.com/cards/goblin-gang
https://clashroyale.fandom.com/wiki/Goblin_Gang</t>
  </si>
  <si>
    <t xml:space="preserve">Elite Barbarians</t>
  </si>
  <si>
    <t xml:space="preserve">0.8</t>
  </si>
  <si>
    <t xml:space="preserve">1,341 per Elite Barbarian</t>
  </si>
  <si>
    <t xml:space="preserve">384 per Elite Barbarian</t>
  </si>
  <si>
    <t xml:space="preserve">Two fast melee bruisers; bridge pressure.</t>
  </si>
  <si>
    <t xml:space="preserve">https://www.deckshop.pro/card/stats
https://www.deckshop.pro/card/hitpoints
https://deckmelon.com/cards/elite-barbarians
https://clashroyale.fandom.com/wiki/Elite_Barbarians
https://www.deckshop.pro/card/detail/elite-barbarians</t>
  </si>
  <si>
    <t xml:space="preserve">Updated: L11 HP/damage verified.</t>
  </si>
  <si>
    <t xml:space="preserve">Minion Horde</t>
  </si>
  <si>
    <t xml:space="preserve">6</t>
  </si>
  <si>
    <t xml:space="preserve">230 per Minion</t>
  </si>
  <si>
    <t xml:space="preserve">Six Minions; high air DPS but spell-vulnerable.</t>
  </si>
  <si>
    <t xml:space="preserve">https://www.deckshop.pro/card/stats
https://www.deckshop.pro/card/hitpoints
https://deckmelon.com/cards/minion-horde
https://clashroyale.fandom.com/wiki/Minion_Horde</t>
  </si>
  <si>
    <t xml:space="preserve">Same unit stats as Minions; 6 total.</t>
  </si>
  <si>
    <t xml:space="preserve">Mini P.E.K.K.A</t>
  </si>
  <si>
    <t xml:space="preserve">1,433</t>
  </si>
  <si>
    <t xml:space="preserve">755</t>
  </si>
  <si>
    <t xml:space="preserve">Fast single-target burst damage; no splash.</t>
  </si>
  <si>
    <t xml:space="preserve">https://www.deckshop.pro/card/stats
https://www.deckshop.pro/card/hitpoints
https://deckmelon.com/cards/mini-pekka
https://clashroyale.fandom.com/wiki/Mini_P.E.K.K.A</t>
  </si>
  <si>
    <t xml:space="preserve">Musketeer</t>
  </si>
  <si>
    <t xml:space="preserve">6.0</t>
  </si>
  <si>
    <t xml:space="preserve">721</t>
  </si>
  <si>
    <t xml:space="preserve">217</t>
  </si>
  <si>
    <t xml:space="preserve">MusketeerProjectile</t>
  </si>
  <si>
    <t xml:space="preserve">Long-range single-target support; air/ground.</t>
  </si>
  <si>
    <t xml:space="preserve">https://www.deckshop.pro/card/stats
https://www.deckshop.pro/card/hitpoints
https://deckmelon.com/cards/musketeer
https://clashroyale.fandom.com/wiki/Musketeer
https://www.deckshop.pro/card/detail/musketeer</t>
  </si>
  <si>
    <t xml:space="preserve">Giant</t>
  </si>
  <si>
    <t xml:space="preserve">4,090</t>
  </si>
  <si>
    <t xml:space="preserve">253</t>
  </si>
  <si>
    <t xml:space="preserve">Slow building-targeting tank.</t>
  </si>
  <si>
    <t xml:space="preserve">https://www.deckshop.pro/card/stats
https://www.deckshop.pro/card/hitpoints
https://deckmelon.com/cards/giant
https://clashroyale.fandom.com/wiki/Giant</t>
  </si>
  <si>
    <t xml:space="preserve">Valkyrie</t>
  </si>
  <si>
    <t xml:space="preserve">1,907</t>
  </si>
  <si>
    <t xml:space="preserve">266 area</t>
  </si>
  <si>
    <t xml:space="preserve">360° ground splash melee; no air targeting.</t>
  </si>
  <si>
    <t xml:space="preserve">https://www.deckshop.pro/card/stats
https://www.deckshop.pro/card/hitpoints
https://deckmelon.com/cards/valkyrie
https://clashroyale.fandom.com/wiki/Valkyrie
https://decksforcr.com/card/detail/valkyrie
https://www.deckshop.pro/go/card/detail/valkyrie</t>
  </si>
  <si>
    <t xml:space="preserve">Updated: L11 HP/damage verified; area radius added.</t>
  </si>
  <si>
    <t xml:space="preserve">1.9</t>
  </si>
  <si>
    <t xml:space="preserve">360° melee sweep</t>
  </si>
  <si>
    <t xml:space="preserve">Mega Minion</t>
  </si>
  <si>
    <t xml:space="preserve">1.6</t>
  </si>
  <si>
    <t xml:space="preserve">837</t>
  </si>
  <si>
    <t xml:space="preserve">312</t>
  </si>
  <si>
    <t xml:space="preserve">Flying single-target support; medium speed.</t>
  </si>
  <si>
    <t xml:space="preserve">https://www.deckshop.pro/card/stats
https://www.deckshop.pro/card/hitpoints
https://deckmelon.com/cards/mega-minion
https://clashroyale.fandom.com/wiki/Mega_Minion
https://www.deckshop.pro/card/detail/mega-minion</t>
  </si>
  <si>
    <t xml:space="preserve">Battle Ram</t>
  </si>
  <si>
    <t xml:space="preserve">1 ram + 2 Barbarians on break</t>
  </si>
  <si>
    <t xml:space="preserve">Buildings while charging; Barbarians target ground</t>
  </si>
  <si>
    <t xml:space="preserve">Charge then Barbarians 1.4</t>
  </si>
  <si>
    <t xml:space="preserve">967 Ram; 670 per spawned Barbarian</t>
  </si>
  <si>
    <t xml:space="preserve">286 impact / 573 charge; Barbarians 192 each</t>
  </si>
  <si>
    <t xml:space="preserve">Charges buildings; breaks into two Barbarians.</t>
  </si>
  <si>
    <t xml:space="preserve">https://www.deckshop.pro/card/stats
https://www.deckshop.pro/card/hitpoints
https://deckmelon.com/cards/battle-ram
https://clashroyale.fandom.com/wiki/Battle_Ram</t>
  </si>
  <si>
    <t xml:space="preserve">Updated: L11 ram and Barbarian component stats verified.</t>
  </si>
  <si>
    <t xml:space="preserve">Wizard</t>
  </si>
  <si>
    <t xml:space="preserve">5.5</t>
  </si>
  <si>
    <t xml:space="preserve">281 area</t>
  </si>
  <si>
    <t xml:space="preserve">Wizard projectile</t>
  </si>
  <si>
    <t xml:space="preserve">Ranged splash support; air/ground.</t>
  </si>
  <si>
    <t xml:space="preserve">https://www.deckshop.pro/card/stats
https://www.deckshop.pro/card/hitpoints
https://deckmelon.com/cards/wizard
https://clashroyale.fandom.com/wiki/Wizard</t>
  </si>
  <si>
    <t xml:space="preserve">Homing projectile splash</t>
  </si>
  <si>
    <t xml:space="preserve">Flying Machine</t>
  </si>
  <si>
    <t xml:space="preserve">614</t>
  </si>
  <si>
    <t xml:space="preserve">171</t>
  </si>
  <si>
    <t xml:space="preserve">800 attack</t>
  </si>
  <si>
    <t xml:space="preserve">Flying long-range single-target support.</t>
  </si>
  <si>
    <t xml:space="preserve">https://www.deckshop.pro/card/stats
https://www.deckshop.pro/card/hitpoints
https://deckmelon.com/cards/flying-machine
https://clashroyale.fandom.com/wiki/Flying_Machine
https://www.deckshop.pro/card/detail/flying-machine</t>
  </si>
  <si>
    <t xml:space="preserve">Hog Rider</t>
  </si>
  <si>
    <t xml:space="preserve">1,697</t>
  </si>
  <si>
    <t xml:space="preserve">317</t>
  </si>
  <si>
    <t xml:space="preserve">Very fast building-targeting rider; jumps river.</t>
  </si>
  <si>
    <t xml:space="preserve">https://www.deckshop.pro/card/stats
https://www.deckshop.pro/card/hitpoints
https://deckmelon.com/cards/hog-rider
https://clashroyale.fandom.com/wiki/Hog_Rider</t>
  </si>
  <si>
    <t xml:space="preserve">Three Musketeers</t>
  </si>
  <si>
    <t xml:space="preserve">721 per Musketeer</t>
  </si>
  <si>
    <t xml:space="preserve">217 ×3</t>
  </si>
  <si>
    <t xml:space="preserve">5 per spawned unit</t>
  </si>
  <si>
    <t xml:space="preserve">Deploys three Musketeers; can be split; 9 elixir.</t>
  </si>
  <si>
    <t xml:space="preserve">https://www.deckshop.pro/card/stats
https://www.deckshop.pro/card/hitpoints
https://deckmelon.com/cards/three-musketeers
https://clashroyale.fandom.com/wiki/Three_Musketeers
https://www.deckshop.pro/card/detail/musketeer</t>
  </si>
  <si>
    <t xml:space="preserve">Updated to mirror Level 11 Musketeer stats.</t>
  </si>
  <si>
    <t xml:space="preserve">Ice Golem</t>
  </si>
  <si>
    <t xml:space="preserve">0.75</t>
  </si>
  <si>
    <t xml:space="preserve">1,318</t>
  </si>
  <si>
    <t xml:space="preserve">84 death damage + slow</t>
  </si>
  <si>
    <t xml:space="preserve">Building-targeting kite tank; death nova slows/damages.</t>
  </si>
  <si>
    <t xml:space="preserve">https://www.deckshop.pro/card/stats
https://www.deckshop.pro/card/hitpoints
https://deckmelon.com/cards/ice-golem
https://clashroyale.fandom.com/wiki/Ice_Golem
https://www.deckshop.pro/card/detail/ice-golem</t>
  </si>
  <si>
    <t xml:space="preserve">Updated: L11 HP/death damage verified; death radius added.</t>
  </si>
  <si>
    <t xml:space="preserve">360° death nova</t>
  </si>
  <si>
    <t xml:space="preserve">Dart Goblin</t>
  </si>
  <si>
    <t xml:space="preserve">6.5</t>
  </si>
  <si>
    <t xml:space="preserve">260</t>
  </si>
  <si>
    <t xml:space="preserve">156</t>
  </si>
  <si>
    <t xml:space="preserve">DartGoblin dart</t>
  </si>
  <si>
    <t xml:space="preserve">Very long range, very fast ranged chip; fragile.</t>
  </si>
  <si>
    <t xml:space="preserve">https://www.deckshop.pro/card/stats
https://www.deckshop.pro/card/hitpoints
https://deckmelon.com/cards/dart-goblin
https://clashroyale.fandom.com/wiki/Dart_Goblin</t>
  </si>
  <si>
    <t xml:space="preserve">Zappies</t>
  </si>
  <si>
    <t xml:space="preserve">529 per Zappy</t>
  </si>
  <si>
    <t xml:space="preserve">117 per Zappy ×3</t>
  </si>
  <si>
    <t xml:space="preserve">Three stun attackers; reset Inferno/Sparky-style effects.</t>
  </si>
  <si>
    <t xml:space="preserve">https://www.deckshop.pro/card/stats
https://www.deckshop.pro/card/hitpoints
https://deckmelon.com/cards/zappies
https://clashroyale.fandom.com/wiki/Zappies
https://www.deckshop.pro/card/detail/zappies</t>
  </si>
  <si>
    <t xml:space="preserve">Guards</t>
  </si>
  <si>
    <t xml:space="preserve">81 + 256 shield</t>
  </si>
  <si>
    <t xml:space="preserve">256 per Guard</t>
  </si>
  <si>
    <t xml:space="preserve">117 per Guard</t>
  </si>
  <si>
    <t xml:space="preserve">Three shielded melee units with long melee range.</t>
  </si>
  <si>
    <t xml:space="preserve">https://www.deckshop.pro/card/stats
https://www.deckshop.pro/card/hitpoints
https://deckmelon.com/cards/guards
https://clashroyale.fandom.com/wiki/Guards</t>
  </si>
  <si>
    <t xml:space="preserve">Baby Dragon</t>
  </si>
  <si>
    <t xml:space="preserve">3.5</t>
  </si>
  <si>
    <t xml:space="preserve">1,152</t>
  </si>
  <si>
    <t xml:space="preserve">161 area</t>
  </si>
  <si>
    <t xml:space="preserve">BabyDragonProjectile</t>
  </si>
  <si>
    <t xml:space="preserve">Flying splash attacker; air/ground.</t>
  </si>
  <si>
    <t xml:space="preserve">https://www.deckshop.pro/card/stats
https://www.deckshop.pro/card/hitpoints
https://deckmelon.com/cards/baby-dragon
https://clashroyale.fandom.com/wiki/Baby_Dragon
https://www.deckshop.pro/card/detail/baby-dragon</t>
  </si>
  <si>
    <t xml:space="preserve">Updated: L11 HP/damage verified; splash radius added.</t>
  </si>
  <si>
    <t xml:space="preserve">Skeleton Army</t>
  </si>
  <si>
    <t xml:space="preserve">15</t>
  </si>
  <si>
    <t xml:space="preserve">1 per spawned unit</t>
  </si>
  <si>
    <t xml:space="preserve">Large swarm of Skeletons; high distraction/DPS.</t>
  </si>
  <si>
    <t xml:space="preserve">https://www.deckshop.pro/card/stats
https://www.deckshop.pro/card/hitpoints
https://deckmelon.com/cards/skeleton-army
https://clashroyale.fandom.com/wiki/Skeleton_Army</t>
  </si>
  <si>
    <t xml:space="preserve">Same as Skeletons; 15 total.</t>
  </si>
  <si>
    <t xml:space="preserve">Witch</t>
  </si>
  <si>
    <t xml:space="preserve">1 + Skeleton spawns</t>
  </si>
  <si>
    <t xml:space="preserve">839; Skeletons 81 HP</t>
  </si>
  <si>
    <t xml:space="preserve">135 area; Skeletons 81 damage</t>
  </si>
  <si>
    <t xml:space="preserve">Splash support that periodically summons Skeletons.</t>
  </si>
  <si>
    <t xml:space="preserve">https://www.deckshop.pro/card/stats
https://www.deckshop.pro/card/hitpoints
https://deckmelon.com/cards/witch
https://clashroyale.fandom.com/wiki/Witch
https://www.deckshop.pro/card/detail/witch</t>
  </si>
  <si>
    <t xml:space="preserve">Updated: L11 Witch and spawned Skeleton stats verified.</t>
  </si>
  <si>
    <t xml:space="preserve">Non-homing projectile splash</t>
  </si>
  <si>
    <t xml:space="preserve">P.E.K.K.A</t>
  </si>
  <si>
    <t xml:space="preserve">3,760</t>
  </si>
  <si>
    <t xml:space="preserve">816</t>
  </si>
  <si>
    <t xml:space="preserve">Slow heavy single-target ground damage.</t>
  </si>
  <si>
    <t xml:space="preserve">https://www.deckshop.pro/card/stats
https://www.deckshop.pro/card/hitpoints
https://deckmelon.com/cards/pekka
https://clashroyale.fandom.com/wiki/P.E.K.K.A</t>
  </si>
  <si>
    <t xml:space="preserve">Dark Prince</t>
  </si>
  <si>
    <t xml:space="preserve">1,200 + 240 shield</t>
  </si>
  <si>
    <t xml:space="preserve">240</t>
  </si>
  <si>
    <t xml:space="preserve">266 area / charge doubles</t>
  </si>
  <si>
    <t xml:space="preserve">Shielded splash charger; charge damage doubles.</t>
  </si>
  <si>
    <t xml:space="preserve">https://www.deckshop.pro/card/stats
https://www.deckshop.pro/card/hitpoints
https://deckmelon.com/cards/dark-prince
https://clashroyale.fandom.com/wiki/Dark_Prince</t>
  </si>
  <si>
    <t xml:space="preserve">Current L11 from Deckshop snippet.</t>
  </si>
  <si>
    <t xml:space="preserve">1.1 regular / 2.2 charge</t>
  </si>
  <si>
    <t xml:space="preserve">Regular splash / 360° charge splash</t>
  </si>
  <si>
    <t xml:space="preserve">Prince</t>
  </si>
  <si>
    <t xml:space="preserve">1,920</t>
  </si>
  <si>
    <t xml:space="preserve">391 / 783 charge</t>
  </si>
  <si>
    <t xml:space="preserve">Single-target charger; charge damage doubles.</t>
  </si>
  <si>
    <t xml:space="preserve">https://www.deckshop.pro/card/stats
https://www.deckshop.pro/card/hitpoints
https://deckmelon.com/cards/prince
https://clashroyale.fandom.com/wiki/Prince
https://www.deckshop.pro/card/detail/prince</t>
  </si>
  <si>
    <t xml:space="preserve">Updated: L11 HP/damage and charge damage verified.</t>
  </si>
  <si>
    <t xml:space="preserve">Balloon</t>
  </si>
  <si>
    <t xml:space="preserve">0.1</t>
  </si>
  <si>
    <t xml:space="preserve">1,679</t>
  </si>
  <si>
    <t xml:space="preserve">640 building damage; 240 death damage</t>
  </si>
  <si>
    <t xml:space="preserve">Flying building-targeter; high hit damage and death bomb.</t>
  </si>
  <si>
    <t xml:space="preserve">https://www.deckshop.pro/card/stats
https://www.deckshop.pro/card/hitpoints
https://deckmelon.com/cards/balloon
https://clashroyale.fandom.com/wiki/Balloon
https://www.deckshop.pro/card/detail/balloon</t>
  </si>
  <si>
    <t xml:space="preserve">Updated: L11 HP/damage/death damage verified; death radius added.</t>
  </si>
  <si>
    <t xml:space="preserve">3.0 death bomb</t>
  </si>
  <si>
    <t xml:space="preserve">360° death bomb; main building hit is single target</t>
  </si>
  <si>
    <t xml:space="preserve">Giant Skeleton</t>
  </si>
  <si>
    <t xml:space="preserve">3,617</t>
  </si>
  <si>
    <t xml:space="preserve">276 + 535 death damage</t>
  </si>
  <si>
    <t xml:space="preserve">Carries death bomb; heavy ground body.</t>
  </si>
  <si>
    <t xml:space="preserve">https://www.deckshop.pro/card/stats
https://www.deckshop.pro/card/hitpoints
https://deckmelon.com/cards/giant-skeleton
https://clashroyale.fandom.com/wiki/Giant_Skeleton</t>
  </si>
  <si>
    <t xml:space="preserve">360° death bomb</t>
  </si>
  <si>
    <t xml:space="preserve">Hunter</t>
  </si>
  <si>
    <t xml:space="preserve">4.0</t>
  </si>
  <si>
    <t xml:space="preserve">885</t>
  </si>
  <si>
    <t xml:space="preserve">84 ×10 pellets (840 max)</t>
  </si>
  <si>
    <t xml:space="preserve">550 attack</t>
  </si>
  <si>
    <t xml:space="preserve">Shotgun spread; strongest at point blank.</t>
  </si>
  <si>
    <t xml:space="preserve">https://www.deckshop.pro/card/stats
https://www.deckshop.pro/card/hitpoints
https://deckmelon.com/cards/hunter
https://clashroyale.fandom.com/wiki/Hunter</t>
  </si>
  <si>
    <t xml:space="preserve">Updated: L11 pellet damage and HP verified.</t>
  </si>
  <si>
    <t xml:space="preserve">0.3 per pellet collision</t>
  </si>
  <si>
    <t xml:space="preserve">Shotgun pellet collision/splash-like contact radius</t>
  </si>
  <si>
    <t xml:space="preserve">Golem</t>
  </si>
  <si>
    <t xml:space="preserve">1 + 2 Golemites on death</t>
  </si>
  <si>
    <t xml:space="preserve">3.0</t>
  </si>
  <si>
    <t xml:space="preserve">5,120 Golem; 1,039 per Golemite</t>
  </si>
  <si>
    <t xml:space="preserve">312 Golem; 225 Golem death; 84 Golemite; 99 Golemite death</t>
  </si>
  <si>
    <t xml:space="preserve">Very heavy building-targeting tank; splits into Golemites.</t>
  </si>
  <si>
    <t xml:space="preserve">https://www.deckshop.pro/card/stats
https://www.deckshop.pro/card/hitpoints
https://deckmelon.com/cards/golem
https://clashroyale.fandom.com/wiki/Golem
https://www.deckshop.pro/card/detail/golem</t>
  </si>
  <si>
    <t xml:space="preserve">Updated: L11 Golem/Golemite component stats verified.</t>
  </si>
  <si>
    <t xml:space="preserve">2.0 death; 2.0 Golemite death</t>
  </si>
  <si>
    <t xml:space="preserve">Death AoE for Golem and Golemites</t>
  </si>
  <si>
    <t xml:space="preserve">Bowler</t>
  </si>
  <si>
    <t xml:space="preserve">2,081</t>
  </si>
  <si>
    <t xml:space="preserve">289 area/pushback</t>
  </si>
  <si>
    <t xml:space="preserve">Bowler boulder</t>
  </si>
  <si>
    <t xml:space="preserve">170 boulder</t>
  </si>
  <si>
    <t xml:space="preserve">Boulder rolls through ground units and knocks back.</t>
  </si>
  <si>
    <t xml:space="preserve">https://www.deckshop.pro/card/stats
https://www.deckshop.pro/card/hitpoints
https://deckmelon.com/cards/bowler
https://clashroyale.fandom.com/wiki/Bowler</t>
  </si>
  <si>
    <t xml:space="preserve">Continuous rolling boulder splash</t>
  </si>
  <si>
    <t xml:space="preserve">Executioner</t>
  </si>
  <si>
    <t xml:space="preserve">1,280</t>
  </si>
  <si>
    <t xml:space="preserve">179 ×2 path hits</t>
  </si>
  <si>
    <t xml:space="preserve">Executioner axe</t>
  </si>
  <si>
    <t xml:space="preserve">550 axe</t>
  </si>
  <si>
    <t xml:space="preserve">Axe travels out and back, hitting twice in a line.</t>
  </si>
  <si>
    <t xml:space="preserve">https://www.deckshop.pro/card/stats
https://www.deckshop.pro/card/hitpoints
https://deckmelon.com/cards/executioner
https://clashroyale.fandom.com/wiki/Executioner
https://www.deckshop.pro/card/detail/executioner</t>
  </si>
  <si>
    <t xml:space="preserve">Updated: L11 HP/damage verified; axe path radius added.</t>
  </si>
  <si>
    <t xml:space="preserve">Continuous axe path splash, outbound and return</t>
  </si>
  <si>
    <t xml:space="preserve">Cannon Cart</t>
  </si>
  <si>
    <t xml:space="preserve">1,809 total/cart state</t>
  </si>
  <si>
    <t xml:space="preserve">Included in HP/state transition</t>
  </si>
  <si>
    <t xml:space="preserve">212</t>
  </si>
  <si>
    <t xml:space="preserve">6.0 first form / 5.5 broken cart</t>
  </si>
  <si>
    <t xml:space="preserve">Ranged cart becomes stationary building-like cannon after shield breaks.</t>
  </si>
  <si>
    <t xml:space="preserve">https://www.deckshop.pro/card/stats
https://www.deckshop.pro/card/hitpoints
https://deckmelon.com/cards/cannon-cart
https://clashroyale.fandom.com/wiki/Cannon_Cart
https://www.deckshop.pro/card/detail/cannon-cart</t>
  </si>
  <si>
    <t xml:space="preserve">Updated: L11 HP/damage verified; shield/state note clarified.</t>
  </si>
  <si>
    <t xml:space="preserve">Mega Knight</t>
  </si>
  <si>
    <t xml:space="preserve">3,993</t>
  </si>
  <si>
    <t xml:space="preserve">268 area / 537 jump / 430 spawn</t>
  </si>
  <si>
    <t xml:space="preserve">1000 spawn impact</t>
  </si>
  <si>
    <t xml:space="preserve">Spawn damage and jump attack; ground splash.</t>
  </si>
  <si>
    <t xml:space="preserve">https://www.deckshop.pro/card/stats
https://www.deckshop.pro/card/hitpoints
https://deckmelon.com/cards/mega-knight
https://clashroyale.fandom.com/wiki/Mega_Knight</t>
  </si>
  <si>
    <t xml:space="preserve">1.3 attack / 2.2 spawn &amp; jump</t>
  </si>
  <si>
    <t xml:space="preserve">Melee splash plus 360° spawn/jump</t>
  </si>
  <si>
    <t xml:space="preserve">Electro Wizard</t>
  </si>
  <si>
    <t xml:space="preserve">714</t>
  </si>
  <si>
    <t xml:space="preserve">115 ×2 attack bolts; 192 spawn Zap</t>
  </si>
  <si>
    <t xml:space="preserve">127 DPS per bolt; up to 254 if both bolts hit</t>
  </si>
  <si>
    <t xml:space="preserve">Spawn zap; dual-target attack; stun/reset.</t>
  </si>
  <si>
    <t xml:space="preserve">https://www.deckshop.pro/card/stats
https://www.deckshop.pro/card/hitpoints
https://deckmelon.com/cards/electro-wizard
https://clashroyale.fandom.com/wiki/Electro_Wizard
https://www.clashroyaledeckbuilder.net/clash-royale-cards/electro_wizard</t>
  </si>
  <si>
    <t xml:space="preserve">Updated: L11 HP, attack, and spawn Zap damage verified.</t>
  </si>
  <si>
    <t xml:space="preserve">2.5 spawn Zap</t>
  </si>
  <si>
    <t xml:space="preserve">360° spawn Zap; normal bolts are dual-target</t>
  </si>
  <si>
    <t xml:space="preserve">Inferno Dragon</t>
  </si>
  <si>
    <t xml:space="preserve">1,295</t>
  </si>
  <si>
    <t xml:space="preserve">35 / 120 / 422 ramp stages</t>
  </si>
  <si>
    <t xml:space="preserve">87 / 300 / 1,055 DPS stages</t>
  </si>
  <si>
    <t xml:space="preserve">Flying ramping-damage beam; reset-vulnerable.</t>
  </si>
  <si>
    <t xml:space="preserve">https://www.deckshop.pro/card/stats
https://www.deckshop.pro/card/hitpoints
https://deckmelon.com/cards/inferno-dragon
https://clashroyale.fandom.com/wiki/Inferno_Dragon
https://www.deckshop.pro/card/detail/inferno-dragon</t>
  </si>
  <si>
    <t xml:space="preserve">Updated: L11 ramp-stage stats verified.</t>
  </si>
  <si>
    <t xml:space="preserve">Sparky</t>
  </si>
  <si>
    <t xml:space="preserve">1,451</t>
  </si>
  <si>
    <t xml:space="preserve">1,331 area</t>
  </si>
  <si>
    <t xml:space="preserve">332 DPS</t>
  </si>
  <si>
    <t xml:space="preserve">1400 attack</t>
  </si>
  <si>
    <t xml:space="preserve">Slow-charging, massive splash projectile; reset-vulnerable.</t>
  </si>
  <si>
    <t xml:space="preserve">https://www.deckshop.pro/card/stats
https://www.deckshop.pro/card/hitpoints
https://deckmelon.com/cards/sparky
https://clashroyale.fandom.com/wiki/Sparky
https://www.deckshop.pro/card/detail/sparky</t>
  </si>
  <si>
    <t xml:space="preserve">Updated: L11 HP/area damage verified.</t>
  </si>
  <si>
    <t xml:space="preserve">1.8</t>
  </si>
  <si>
    <t xml:space="preserve">Miner</t>
  </si>
  <si>
    <t xml:space="preserve">1,210</t>
  </si>
  <si>
    <t xml:space="preserve">194; 49 tower damage</t>
  </si>
  <si>
    <t xml:space="preserve">650 burrow</t>
  </si>
  <si>
    <t xml:space="preserve">Can be deployed anywhere; reduced crown-tower damage.</t>
  </si>
  <si>
    <t xml:space="preserve">https://www.deckshop.pro/card/stats
https://www.deckshop.pro/card/hitpoints
https://deckmelon.com/cards/miner
https://clashroyale.fandom.com/wiki/Miner
https://www.deckshop.pro/card/detail/miner</t>
  </si>
  <si>
    <t xml:space="preserve">Princess</t>
  </si>
  <si>
    <t xml:space="preserve">9.0</t>
  </si>
  <si>
    <t xml:space="preserve">261</t>
  </si>
  <si>
    <t xml:space="preserve">168 area</t>
  </si>
  <si>
    <t xml:space="preserve">Princess projectile</t>
  </si>
  <si>
    <t xml:space="preserve">Extreme range splash attacker.</t>
  </si>
  <si>
    <t xml:space="preserve">https://www.deckshop.pro/card/stats
https://www.deckshop.pro/card/hitpoints
https://deckmelon.com/cards/princess
https://clashroyale.fandom.com/wiki/Princess
https://decksforcr.com/card/detail/princess/
https://www.deckshop.pro/eg/card/detail/princess</t>
  </si>
  <si>
    <t xml:space="preserve">Non-homing long-range splash</t>
  </si>
  <si>
    <t xml:space="preserve">Royal Ghost</t>
  </si>
  <si>
    <t xml:space="preserve">261 area</t>
  </si>
  <si>
    <t xml:space="preserve">Invisible until attacking or revealed by proximity; area melee.</t>
  </si>
  <si>
    <t xml:space="preserve">https://www.deckshop.pro/card/stats
https://www.deckshop.pro/card/hitpoints
https://deckmelon.com/cards/royal-ghost
https://clashroyale.fandom.com/wiki/Royal_Ghost
https://www.deckshop.pro/card/detail/royal-ghost</t>
  </si>
  <si>
    <t xml:space="preserve">Non-homing melee splash</t>
  </si>
  <si>
    <t xml:space="preserve">Ice Wizard</t>
  </si>
  <si>
    <t xml:space="preserve">688</t>
  </si>
  <si>
    <t xml:space="preserve">89 area + slow</t>
  </si>
  <si>
    <t xml:space="preserve">Ice Wizard projectile</t>
  </si>
  <si>
    <t xml:space="preserve">700 attack</t>
  </si>
  <si>
    <t xml:space="preserve">Ranged support that slows targets.</t>
  </si>
  <si>
    <t xml:space="preserve">https://www.deckshop.pro/card/stats
https://www.deckshop.pro/card/hitpoints
https://deckmelon.com/cards/ice-wizard
https://clashroyale.fandom.com/wiki/Ice_Wizard
https://www.deckshop.pro/card/detail/ice-wizard
https://www.clashroyaledeckbuilder.net/clash-royale-cards/ice_wizard</t>
  </si>
  <si>
    <t xml:space="preserve">Homing projectile splash + slow</t>
  </si>
  <si>
    <t xml:space="preserve">Bandit</t>
  </si>
  <si>
    <t xml:space="preserve">0.8 melee; 3.5–6 dash</t>
  </si>
  <si>
    <t xml:space="preserve">906</t>
  </si>
  <si>
    <t xml:space="preserve">194 / 389 dash</t>
  </si>
  <si>
    <t xml:space="preserve">Dash makes her briefly invulnerable; burst engage.</t>
  </si>
  <si>
    <t xml:space="preserve">https://www.deckshop.pro/card/stats
https://www.deckshop.pro/card/hitpoints
https://deckmelon.com/cards/bandit
https://clashroyale.fandom.com/wiki/Bandit
https://www.deckshop.pro/card/detail/bandit</t>
  </si>
  <si>
    <t xml:space="preserve">Updated: L11 HP/damage and dash damage verified.</t>
  </si>
  <si>
    <t xml:space="preserve">Lava Hound</t>
  </si>
  <si>
    <t xml:space="preserve">1 + Lava Pups on death</t>
  </si>
  <si>
    <t xml:space="preserve">3,581 Hound; 217 per Lava Pup</t>
  </si>
  <si>
    <t xml:space="preserve">53 Hound; 81 per Lava Pup ×6</t>
  </si>
  <si>
    <t xml:space="preserve">LavaHoundProjectile</t>
  </si>
  <si>
    <t xml:space="preserve">Flying building-targeting tank; splits into Lava Pups.</t>
  </si>
  <si>
    <t xml:space="preserve">https://www.deckshop.pro/card/stats
https://www.deckshop.pro/card/hitpoints
https://deckmelon.com/cards/lava-hound
https://clashroyale.fandom.com/wiki/Lava_Hound
https://www.deckshop.pro/card/detail/lava-hound</t>
  </si>
  <si>
    <t xml:space="preserve">Updated: L11 Hound and Lava Pup stats verified.</t>
  </si>
  <si>
    <t xml:space="preserve">Night Witch</t>
  </si>
  <si>
    <t xml:space="preserve">1 + Bat spawns</t>
  </si>
  <si>
    <t xml:space="preserve">907</t>
  </si>
  <si>
    <t xml:space="preserve">314 + Bats</t>
  </si>
  <si>
    <t xml:space="preserve">Melee support that spawns Bats.</t>
  </si>
  <si>
    <t xml:space="preserve">https://www.deckshop.pro/card/stats
https://www.deckshop.pro/card/hitpoints
https://deckmelon.com/cards/night-witch
https://clashroyale.fandom.com/wiki/Night_Witch</t>
  </si>
  <si>
    <t xml:space="preserve">Lumberjack</t>
  </si>
  <si>
    <t xml:space="preserve">1,282</t>
  </si>
  <si>
    <t xml:space="preserve">256; drops Rage effect on death</t>
  </si>
  <si>
    <t xml:space="preserve">Fast melee; drops Rage on death.</t>
  </si>
  <si>
    <t xml:space="preserve">https://www.deckshop.pro/card/stats
https://www.deckshop.pro/card/hitpoints
https://deckmelon.com/cards/lumberjack
https://clashroyale.fandom.com/wiki/Lumberjack
https://www.deckshop.pro/card/detail/lumberjack</t>
  </si>
  <si>
    <t xml:space="preserve">Updated: L11 HP/damage verified; death Rage effect noted.</t>
  </si>
  <si>
    <t xml:space="preserve">Arrows</t>
  </si>
  <si>
    <t xml:space="preserve">Spell</t>
  </si>
  <si>
    <t xml:space="preserve">Stationary / N/A</t>
  </si>
  <si>
    <t xml:space="preserve">3.5 radius</t>
  </si>
  <si>
    <t xml:space="preserve">Cast</t>
  </si>
  <si>
    <t xml:space="preserve">Instant travel</t>
  </si>
  <si>
    <t xml:space="preserve">366 area / 110 tower</t>
  </si>
  <si>
    <t xml:space="preserve">Arrows spell object</t>
  </si>
  <si>
    <t xml:space="preserve">1100 spell</t>
  </si>
  <si>
    <t xml:space="preserve">Three-wave air/ground spell; broad radius.</t>
  </si>
  <si>
    <t xml:space="preserve">https://www.deckshop.pro/card/stats
https://www.deckshop.pro/card/hitpoints
https://deckmelon.com/cards/arrows
https://clashroyale.fandom.com/wiki/Arrows</t>
  </si>
  <si>
    <t xml:space="preserve">Current L11 from Deck Shop.</t>
  </si>
  <si>
    <t xml:space="preserve">Spell AoE/effect radius</t>
  </si>
  <si>
    <t xml:space="preserve">Zap</t>
  </si>
  <si>
    <t xml:space="preserve">2.5 radius</t>
  </si>
  <si>
    <t xml:space="preserve">Instant</t>
  </si>
  <si>
    <t xml:space="preserve">192 area / 58 tower</t>
  </si>
  <si>
    <t xml:space="preserve">Zap spell object</t>
  </si>
  <si>
    <t xml:space="preserve">instant/no projectile</t>
  </si>
  <si>
    <t xml:space="preserve">Instant small spell; stuns/resets and damages.</t>
  </si>
  <si>
    <t xml:space="preserve">https://www.deckshop.pro/card/stats
https://www.deckshop.pro/card/hitpoints
https://deckmelon.com/cards/zap
https://clashroyale.fandom.com/wiki/Zap</t>
  </si>
  <si>
    <t xml:space="preserve">Fireball</t>
  </si>
  <si>
    <t xml:space="preserve">Traveling spell</t>
  </si>
  <si>
    <t xml:space="preserve">688 area / 207 tower</t>
  </si>
  <si>
    <t xml:space="preserve">Fireball spell object</t>
  </si>
  <si>
    <t xml:space="preserve">600 spell</t>
  </si>
  <si>
    <t xml:space="preserve">Medium-radius damage with knockback.</t>
  </si>
  <si>
    <t xml:space="preserve">https://www.deckshop.pro/card/stats
https://www.deckshop.pro/card/hitpoints
https://deckmelon.com/cards/fireball
https://clashroyale.fandom.com/wiki/Fireball</t>
  </si>
  <si>
    <t xml:space="preserve">Rocket</t>
  </si>
  <si>
    <t xml:space="preserve">2.0 radius</t>
  </si>
  <si>
    <t xml:space="preserve">1,484 area / ~445 tower</t>
  </si>
  <si>
    <t xml:space="preserve">Rocket spell object</t>
  </si>
  <si>
    <t xml:space="preserve">350 spell</t>
  </si>
  <si>
    <t xml:space="preserve">High-damage spell; slow travel; small radius.</t>
  </si>
  <si>
    <t xml:space="preserve">https://www.deckshop.pro/card/stats
https://www.deckshop.pro/card/hitpoints
https://deckmelon.com/cards/rocket
https://clashroyale.fandom.com/wiki/Rocket</t>
  </si>
  <si>
    <t xml:space="preserve">Current L11 from Deck Shop; tower value rounded/community/datamine-derived.</t>
  </si>
  <si>
    <t xml:space="preserve">Goblin Barrel</t>
  </si>
  <si>
    <t xml:space="preserve">3 Goblins</t>
  </si>
  <si>
    <t xml:space="preserve">Buildings/ground after spawn</t>
  </si>
  <si>
    <t xml:space="preserve">1.5 radius</t>
  </si>
  <si>
    <t xml:space="preserve">Traveling barrel</t>
  </si>
  <si>
    <t xml:space="preserve">Spawns 3 Goblins; no direct spell damage</t>
  </si>
  <si>
    <t xml:space="preserve">Goblin Barrel spell object</t>
  </si>
  <si>
    <t xml:space="preserve">400 spell</t>
  </si>
  <si>
    <t xml:space="preserve">Projectile spell that spawns three Goblins anywhere.</t>
  </si>
  <si>
    <t xml:space="preserve">https://www.deckshop.pro/card/stats
https://www.deckshop.pro/card/hitpoints
https://deckmelon.com/cards/goblin-barrel
https://clashroyale.fandom.com/wiki/Goblin_Barrel</t>
  </si>
  <si>
    <t xml:space="preserve">Clarified: spell creates Goblins, not a damage splash.</t>
  </si>
  <si>
    <t xml:space="preserve">1.5 deploy radius</t>
  </si>
  <si>
    <t xml:space="preserve">Spawn radius; no spell damage</t>
  </si>
  <si>
    <t xml:space="preserve">Lightning</t>
  </si>
  <si>
    <t xml:space="preserve">Air &amp; ground; 3 highest HP targets</t>
  </si>
  <si>
    <t xml:space="preserve">Instant-ish strike selector</t>
  </si>
  <si>
    <t xml:space="preserve">1,057 to up to 3 targets / ~317 tower</t>
  </si>
  <si>
    <t xml:space="preserve">Lightning spell object</t>
  </si>
  <si>
    <t xml:space="preserve">500 spell marker</t>
  </si>
  <si>
    <t xml:space="preserve">Hits up to three highest-HP targets in radius; stun/reset.</t>
  </si>
  <si>
    <t xml:space="preserve">https://www.deckshop.pro/card/stats
https://www.deckshop.pro/card/hitpoints
https://deckmelon.com/cards/lightning
https://clashroyale.fandom.com/wiki/Lightning</t>
  </si>
  <si>
    <t xml:space="preserve">Current L11 community/datamine-derived overview.</t>
  </si>
  <si>
    <t xml:space="preserve">Spell strike radius; hits up to 3 highest-HP targets</t>
  </si>
  <si>
    <t xml:space="preserve">Freeze</t>
  </si>
  <si>
    <t xml:space="preserve">Air &amp; ground; freezes/stuns targets</t>
  </si>
  <si>
    <t xml:space="preserve">3.0 radius</t>
  </si>
  <si>
    <t xml:space="preserve">3.0s</t>
  </si>
  <si>
    <t xml:space="preserve">148 area + 3s freeze</t>
  </si>
  <si>
    <t xml:space="preserve">Freeze spell object</t>
  </si>
  <si>
    <t xml:space="preserve">Freezes/stuns and deals small damage.</t>
  </si>
  <si>
    <t xml:space="preserve">https://www.deckshop.pro/card/stats
https://www.deckshop.pro/card/hitpoints
https://deckmelon.com/cards/freeze
https://clashroyale.fandom.com/wiki/Freeze</t>
  </si>
  <si>
    <t xml:space="preserve">Current L11 from Deck Shop/stats.</t>
  </si>
  <si>
    <t xml:space="preserve">Poison</t>
  </si>
  <si>
    <t xml:space="preserve">Air &amp; ground over time</t>
  </si>
  <si>
    <t xml:space="preserve">8.0s</t>
  </si>
  <si>
    <t xml:space="preserve">736 total over 8s / ~222 tower</t>
  </si>
  <si>
    <t xml:space="preserve">Poison spell object</t>
  </si>
  <si>
    <t xml:space="preserve">area-over-time/no projectile</t>
  </si>
  <si>
    <t xml:space="preserve">Area denial damage over time; slows troop/building attacks and movement? (current slow behavior community/datamine-derived).</t>
  </si>
  <si>
    <t xml:space="preserve">https://www.deckshop.pro/card/stats
https://www.deckshop.pro/card/hitpoints
https://deckmelon.com/cards/poison
https://clashroyale.fandom.com/wiki/Poison</t>
  </si>
  <si>
    <t xml:space="preserve">Spell AoE/effect radius over duration</t>
  </si>
  <si>
    <t xml:space="preserve">Rage</t>
  </si>
  <si>
    <t xml:space="preserve">Friendly units/buildings buff; also damages enemies</t>
  </si>
  <si>
    <t xml:space="preserve">4.5s</t>
  </si>
  <si>
    <t xml:space="preserve">192 area + 4.5s Rage</t>
  </si>
  <si>
    <t xml:space="preserve">Rage spell object</t>
  </si>
  <si>
    <t xml:space="preserve">Buffs friendly movement/attack speed and damages enemies in radius.</t>
  </si>
  <si>
    <t xml:space="preserve">https://www.deckshop.pro/card/stats
https://www.deckshop.pro/card/hitpoints
https://deckmelon.com/cards/rage
https://clashroyale.fandom.com/wiki/Rage</t>
  </si>
  <si>
    <t xml:space="preserve">Clone</t>
  </si>
  <si>
    <t xml:space="preserve">Friendly units only</t>
  </si>
  <si>
    <t xml:space="preserve">Instant field</t>
  </si>
  <si>
    <t xml:space="preserve">Copies friendly units with 1 HP</t>
  </si>
  <si>
    <t xml:space="preserve">Clone spell object</t>
  </si>
  <si>
    <t xml:space="preserve">Creates fragile 1-HP copies of friendly troops.</t>
  </si>
  <si>
    <t xml:space="preserve">https://www.deckshop.pro/card/stats
https://www.deckshop.pro/card/hitpoints
https://deckmelon.com/cards/clone
https://clashroyale.fandom.com/wiki/Clone</t>
  </si>
  <si>
    <t xml:space="preserve">No direct damage.</t>
  </si>
  <si>
    <t xml:space="preserve">Spell clone radius</t>
  </si>
  <si>
    <t xml:space="preserve">Tornado</t>
  </si>
  <si>
    <t xml:space="preserve">Air &amp; ground; pulls enemies</t>
  </si>
  <si>
    <t xml:space="preserve">5.5 radius</t>
  </si>
  <si>
    <t xml:space="preserve">1.1s</t>
  </si>
  <si>
    <t xml:space="preserve">84 total / 26 tower + 1.1s pull</t>
  </si>
  <si>
    <t xml:space="preserve">Tornado spell object</t>
  </si>
  <si>
    <t xml:space="preserve">pull field/no projectile</t>
  </si>
  <si>
    <t xml:space="preserve">Pulls enemy troops; activates King Tower setups.</t>
  </si>
  <si>
    <t xml:space="preserve">https://www.deckshop.pro/card/stats
https://www.deckshop.pro/card/hitpoints
https://deckmelon.com/cards/tornado
https://clashroyale.fandom.com/wiki/Tornado</t>
  </si>
  <si>
    <t xml:space="preserve">Pull/damage radius</t>
  </si>
  <si>
    <t xml:space="preserve">Mirror</t>
  </si>
  <si>
    <t xml:space="preserve">Repeats previous card</t>
  </si>
  <si>
    <t xml:space="preserve">Mirrors previous card at +1 level; no direct damage/effect</t>
  </si>
  <si>
    <t xml:space="preserve">Mirror spell object</t>
  </si>
  <si>
    <t xml:space="preserve">no projectile</t>
  </si>
  <si>
    <t xml:space="preserve">Repeats the last played card with modified elixir/level behavior.</t>
  </si>
  <si>
    <t xml:space="preserve">https://www.deckshop.pro/card/stats
https://www.deckshop.pro/card/hitpoints
https://deckmelon.com/cards/mirror
https://clashroyale.fandom.com/wiki/Mirror</t>
  </si>
  <si>
    <t xml:space="preserve">Clarified non-damaging mirror effect; no range/splash.</t>
  </si>
  <si>
    <t xml:space="preserve">No AoE; repeats previous card</t>
  </si>
  <si>
    <t xml:space="preserve">The Log</t>
  </si>
  <si>
    <t xml:space="preserve">Ground only</t>
  </si>
  <si>
    <t xml:space="preserve">10.1</t>
  </si>
  <si>
    <t xml:space="preserve">Rolling spell</t>
  </si>
  <si>
    <t xml:space="preserve">268 ground / 81 tower</t>
  </si>
  <si>
    <t xml:space="preserve">The Log spell object</t>
  </si>
  <si>
    <t xml:space="preserve">200 rolling spell</t>
  </si>
  <si>
    <t xml:space="preserve">Ground-only rolling spell with knockback.</t>
  </si>
  <si>
    <t xml:space="preserve">https://www.deckshop.pro/card/stats
https://www.deckshop.pro/card/hitpoints
https://deckmelon.com/cards/the-log
https://clashroyale.fandom.com/wiki/The_Log</t>
  </si>
  <si>
    <t xml:space="preserve">10.1 path length</t>
  </si>
  <si>
    <t xml:space="preserve">Linear rolling AoE/path, not circular radius</t>
  </si>
  <si>
    <t xml:space="preserve">Graveyard</t>
  </si>
  <si>
    <t xml:space="preserve">Skeletons over 9s</t>
  </si>
  <si>
    <t xml:space="preserve">Ground Skeleton spawns</t>
  </si>
  <si>
    <t xml:space="preserve">4.0 radius</t>
  </si>
  <si>
    <t xml:space="preserve">9.0s</t>
  </si>
  <si>
    <t xml:space="preserve">Skeleton spawns over 9s</t>
  </si>
  <si>
    <t xml:space="preserve">Graveyard spell object</t>
  </si>
  <si>
    <t xml:space="preserve">spawn field/no projectile</t>
  </si>
  <si>
    <t xml:space="preserve">Randomly spawns Skeletons in a target radius over time.</t>
  </si>
  <si>
    <t xml:space="preserve">https://www.deckshop.pro/card/stats
https://www.deckshop.pro/card/hitpoints
https://deckmelon.com/cards/graveyard
https://clashroyale.fandom.com/wiki/Graveyard</t>
  </si>
  <si>
    <t xml:space="preserve">Damage depends on surviving Skeletons.</t>
  </si>
  <si>
    <t xml:space="preserve">Skeleton spawn radius</t>
  </si>
  <si>
    <t xml:space="preserve">Cannon</t>
  </si>
  <si>
    <t xml:space="preserve">Building</t>
  </si>
  <si>
    <t xml:space="preserve">30s</t>
  </si>
  <si>
    <t xml:space="preserve">824</t>
  </si>
  <si>
    <t xml:space="preserve">Cannon attack object</t>
  </si>
  <si>
    <t xml:space="preserve">Cheap ground-only defensive building.</t>
  </si>
  <si>
    <t xml:space="preserve">https://www.deckshop.pro/card/stats
https://www.deckshop.pro/card/hitpoints
https://deckmelon.com/cards/cannon
https://clashroyale.fandom.com/wiki/Cannon</t>
  </si>
  <si>
    <t xml:space="preserve">Mortar</t>
  </si>
  <si>
    <t xml:space="preserve">Ground/buildings; long-range projectile</t>
  </si>
  <si>
    <t xml:space="preserve">11.5</t>
  </si>
  <si>
    <t xml:space="preserve">1,369</t>
  </si>
  <si>
    <t xml:space="preserve">Mortar attack object</t>
  </si>
  <si>
    <t xml:space="preserve">300 attack</t>
  </si>
  <si>
    <t xml:space="preserve">Long-range siege building; blind spot/min range.</t>
  </si>
  <si>
    <t xml:space="preserve">https://www.deckshop.pro/card/stats
https://www.deckshop.pro/card/hitpoints
https://deckmelon.com/cards/mortar
https://clashroyale.fandom.com/wiki/Mortar
https://www.deckshop.pro/card/detail/mortar
https://liquipedia.net/clashroyale/Mortar</t>
  </si>
  <si>
    <t xml:space="preserve">Non-homing building projectile splash</t>
  </si>
  <si>
    <t xml:space="preserve">Tesla</t>
  </si>
  <si>
    <t xml:space="preserve">220</t>
  </si>
  <si>
    <t xml:space="preserve">Tesla attack object</t>
  </si>
  <si>
    <t xml:space="preserve">Hidden until attacking/triggered; air/ground.</t>
  </si>
  <si>
    <t xml:space="preserve">https://www.deckshop.pro/card/stats
https://www.deckshop.pro/card/hitpoints
https://deckmelon.com/cards/tesla
https://clashroyale.fandom.com/wiki/Tesla
https://www.deckshop.pro/card/detail/tesla</t>
  </si>
  <si>
    <t xml:space="preserve">Goblin Hut</t>
  </si>
  <si>
    <t xml:space="preserve">Spawner</t>
  </si>
  <si>
    <t xml:space="preserve">Spawner; Spear Goblins target air &amp; ground</t>
  </si>
  <si>
    <t xml:space="preserve">Building lifetime</t>
  </si>
  <si>
    <t xml:space="preserve">1,180</t>
  </si>
  <si>
    <t xml:space="preserve">Spawns Spear Goblins</t>
  </si>
  <si>
    <t xml:space="preserve">500 spawned Spear Goblins</t>
  </si>
  <si>
    <t xml:space="preserve">0 effective (spawner/no direct attack)</t>
  </si>
  <si>
    <t xml:space="preserve">Spawner building for Spear Goblins.</t>
  </si>
  <si>
    <t xml:space="preserve">https://www.deckshop.pro/card/stats
https://www.deckshop.pro/card/hitpoints
https://deckmelon.com/cards/goblin-hut
https://clashroyale.fandom.com/wiki/Goblin_Hut
https://www.deckshop.pro/cp/card/detail/goblin-hut</t>
  </si>
  <si>
    <t xml:space="preserve">Updated: L11 HP verified; sight clarified as spawner/no direct attack.</t>
  </si>
  <si>
    <t xml:space="preserve">Tombstone</t>
  </si>
  <si>
    <t xml:space="preserve">Spawner; Skeletons target ground</t>
  </si>
  <si>
    <t xml:space="preserve">529</t>
  </si>
  <si>
    <t xml:space="preserve">Spawns Skeletons; Skeletons 81 HP / 81 damage</t>
  </si>
  <si>
    <t xml:space="preserve">— spawned Skeletons melee</t>
  </si>
  <si>
    <t xml:space="preserve">Spawner building for Skeletons; death spawns additional Skeletons.</t>
  </si>
  <si>
    <t xml:space="preserve">https://www.deckshop.pro/card/stats
https://www.deckshop.pro/card/hitpoints
https://deckmelon.com/cards/tombstone
https://clashroyale.fandom.com/wiki/Tombstone
https://www.deckshop.pro/mk/card/detail/tombstone
https://clashroyale.fandom.com/wiki/Skeletons</t>
  </si>
  <si>
    <t xml:space="preserve">Updated: L11 HP and spawned Skeleton stats verified.</t>
  </si>
  <si>
    <t xml:space="preserve">Bomb Tower</t>
  </si>
  <si>
    <t xml:space="preserve">Ground splash</t>
  </si>
  <si>
    <t xml:space="preserve">1,356</t>
  </si>
  <si>
    <t xml:space="preserve">222 area; 222 death damage</t>
  </si>
  <si>
    <t xml:space="preserve">Bomb Tower attack object</t>
  </si>
  <si>
    <t xml:space="preserve">Ground splash defensive building; death bomb.</t>
  </si>
  <si>
    <t xml:space="preserve">https://www.deckshop.pro/card/stats
https://www.deckshop.pro/card/hitpoints
https://deckmelon.com/cards/bomb-tower
https://clashroyale.fandom.com/wiki/Bomb_Tower
https://www.deckshop.pro/card/detail/bomb-tower</t>
  </si>
  <si>
    <t xml:space="preserve">Updated: L11 HP/damage/death damage verified; splash radius added.</t>
  </si>
  <si>
    <t xml:space="preserve">1.5 attack / 3.0 death bomb</t>
  </si>
  <si>
    <t xml:space="preserve">Non-homing projectile splash plus death bomb</t>
  </si>
  <si>
    <t xml:space="preserve">Inferno Tower</t>
  </si>
  <si>
    <t xml:space="preserve">1,748</t>
  </si>
  <si>
    <t xml:space="preserve">43 / 158 / 847 ramping</t>
  </si>
  <si>
    <t xml:space="preserve">Inferno Tower attack object</t>
  </si>
  <si>
    <t xml:space="preserve">Ramping single-target beam; air/ground; reset-vulnerable.</t>
  </si>
  <si>
    <t xml:space="preserve">https://www.deckshop.pro/card/stats
https://www.deckshop.pro/card/hitpoints
https://deckmelon.com/cards/inferno-tower
https://clashroyale.fandom.com/wiki/Inferno_Tower</t>
  </si>
  <si>
    <t xml:space="preserve">Barbarian Hut</t>
  </si>
  <si>
    <t xml:space="preserve">Spawner; Barbarians target ground</t>
  </si>
  <si>
    <t xml:space="preserve">1,164</t>
  </si>
  <si>
    <t xml:space="preserve">Spawns Barbarians; Barbarians 670 HP / 192 damage</t>
  </si>
  <si>
    <t xml:space="preserve">— spawned Barbarians melee</t>
  </si>
  <si>
    <t xml:space="preserve">Spawner building for Barbarians.</t>
  </si>
  <si>
    <t xml:space="preserve">https://www.deckshop.pro/card/stats
https://www.deckshop.pro/card/hitpoints
https://deckmelon.com/cards/barbarian-hut
https://clashroyale.fandom.com/wiki/Barbarian_Hut</t>
  </si>
  <si>
    <t xml:space="preserve">Updated: L11 hut and spawned Barbarian stats verified.</t>
  </si>
  <si>
    <t xml:space="preserve">Furnace</t>
  </si>
  <si>
    <t xml:space="preserve">Spawner; Fire Spirits target air &amp; ground</t>
  </si>
  <si>
    <t xml:space="preserve">896</t>
  </si>
  <si>
    <t xml:space="preserve">Spawns Fire Spirits; Fire Spirit 135 area damage</t>
  </si>
  <si>
    <t xml:space="preserve">400 spawned Fire Spirits</t>
  </si>
  <si>
    <t xml:space="preserve">Spawner building for Fire Spirits.</t>
  </si>
  <si>
    <t xml:space="preserve">https://www.deckshop.pro/card/stats
https://www.deckshop.pro/card/hitpoints
https://deckmelon.com/cards/furnace
https://clashroyale.fandom.com/wiki/Furnace
https://www.deckshop.pro/cr/card/detail/furnace</t>
  </si>
  <si>
    <t xml:space="preserve">Updated: L11 building HP and Fire Spirit damage verified.</t>
  </si>
  <si>
    <t xml:space="preserve">1.7 via spawned Fire Spirits</t>
  </si>
  <si>
    <t xml:space="preserve">Spawner itself has no attack</t>
  </si>
  <si>
    <t xml:space="preserve">Elixir Collector</t>
  </si>
  <si>
    <t xml:space="preserve">Resource building</t>
  </si>
  <si>
    <t xml:space="preserve">Resource lifetime</t>
  </si>
  <si>
    <t xml:space="preserve">1,070</t>
  </si>
  <si>
    <t xml:space="preserve">Generates 1 Elixir every 13s; 8 Elixir total over lifetime</t>
  </si>
  <si>
    <t xml:space="preserve">0 effective (passive building)</t>
  </si>
  <si>
    <t xml:space="preserve">Generates Elixir over time; resource building.</t>
  </si>
  <si>
    <t xml:space="preserve">https://www.deckshop.pro/card/stats
https://www.deckshop.pro/card/hitpoints
https://deckmelon.com/cards/elixir-collector
https://clashroyale.fandom.com/wiki/Elixir_Collector
https://liquipedia.net/clashroyale/Elixir_Collector</t>
  </si>
  <si>
    <t xml:space="preserve">Updated: L11 HP and production cadence verified.</t>
  </si>
  <si>
    <t xml:space="preserve">X-Bow</t>
  </si>
  <si>
    <t xml:space="preserve">1,600</t>
  </si>
  <si>
    <t xml:space="preserve">43 per shot</t>
  </si>
  <si>
    <t xml:space="preserve">143 DPS</t>
  </si>
  <si>
    <t xml:space="preserve">X-Bow attack object</t>
  </si>
  <si>
    <t xml:space="preserve">Long-range rapid-fire siege building.</t>
  </si>
  <si>
    <t xml:space="preserve">https://www.deckshop.pro/card/stats
https://www.deckshop.pro/card/hitpoints
https://deckmelon.com/cards/x-bow
https://clashroyale.fandom.com/wiki/X-Bow
https://www.deckshop.pro/card/detail/x-bow
https://liquipedia.net/clashroyale/X-Bow</t>
  </si>
  <si>
    <t xml:space="preserve">Hidden / non-card-screen field</t>
  </si>
  <si>
    <t xml:space="preserve">Meaning in workbook</t>
  </si>
  <si>
    <t xml:space="preserve">Source / caveat</t>
  </si>
  <si>
    <t xml:space="preserve">Card movement categories map to numeric speeds: Slow=45, Medium=60, Fast=90, Very Fast=120 tiles/min.</t>
  </si>
  <si>
    <t xml:space="preserve">Cards wiki and DeckShop speed categories.</t>
  </si>
  <si>
    <t xml:space="preserve">Collision interaction / pushability value; lower mass is pushed around more easily. Not shown in-game.</t>
  </si>
  <si>
    <t xml:space="preserve">AesDragon hidden mass table; older datamine CSV cross-check.</t>
  </si>
  <si>
    <t xml:space="preserve">Collision radius</t>
  </si>
  <si>
    <t xml:space="preserve">Approximate physical collision size in tiles. Larger units interact/target slightly earlier.</t>
  </si>
  <si>
    <t xml:space="preserve">AesDragon hidden collision-radius table; older datamine CSV cross-check.</t>
  </si>
  <si>
    <t xml:space="preserve">Projectile speed</t>
  </si>
  <si>
    <t xml:space="preserve">Travel speed for ranged attacks and traveling spells in tiles/minute, where applicable.</t>
  </si>
  <si>
    <t xml:space="preserve">AesDragon hidden projectile-speed table; projectile datamine cross-check.</t>
  </si>
  <si>
    <t xml:space="preserve">Internal aggro/target acquisition radius. Non-attacking spawners/producers are marked 0 effective.</t>
  </si>
  <si>
    <t xml:space="preserve">AesDragon hidden sight-range table; not an in-game UI stat.</t>
  </si>
  <si>
    <t xml:space="preserve">Splash / AoE radius</t>
  </si>
  <si>
    <t xml:space="preserve">Radius or path size for cards that deal area damage or create a circular/linear effect. Spells use the effect radius when they deal damage/effect in an area.</t>
  </si>
  <si>
    <t xml:space="preserve">AesDragon hidden area-damage-radius table for non-spell attackers; spell effect radii from card stat pages.</t>
  </si>
  <si>
    <t xml:space="preserve">The field is not applicable to that card, not missing. Example: single-target troops have no splash radius; spells have no mass/collision.</t>
  </si>
  <si>
    <t xml:space="preserve">Use row source URLs for card-specific verification.</t>
  </si>
  <si>
    <t xml:space="preserve">Derived delay in seconds for a fully loaded first attack: Hit speed / cadence minus Load time, clamped at 0. This workbook uses the current hit-speed column instead of the older hit-speed values from the pasted table.</t>
  </si>
  <si>
    <t xml:space="preserve">Mechanics from RoyaleAPI article pasted in the Codex request; load-time values seeded from the first-attack table.</t>
  </si>
  <si>
    <t xml:space="preserve">Hidden amount of first-attack progress that can be preloaded before combat. Units deploy with this load prefilled; displacement resets it for the first attack window.</t>
  </si>
  <si>
    <t xml:space="preserve">/home/jiaming/.codex/attachments/2d64218d-6292-4dd0-9dc8-2a28193c7c37/pasted-text.txt</t>
  </si>
  <si>
    <t xml:space="preserve">Source</t>
  </si>
  <si>
    <t xml:space="preserve">Use in workbook</t>
  </si>
  <si>
    <t xml:space="preserve">URL</t>
  </si>
  <si>
    <t xml:space="preserve">Supercell 2026 anniversary season post</t>
  </si>
  <si>
    <t xml:space="preserve">Confirms Retro Royale tournament uses first 80 cards, capped at Level 11, with no Champions/Evolutions/Heroes.</t>
  </si>
  <si>
    <t xml:space="preserve">https://supercell.com/en/games/clashroyale/blog/news/new-season-10th-anniversary/</t>
  </si>
  <si>
    <t xml:space="preserve">Clash Royale Wiki: Retro Royale</t>
  </si>
  <si>
    <t xml:space="preserve">Card-pool list used to enumerate the 80 card rows.</t>
  </si>
  <si>
    <t xml:space="preserve">https://clashroyale.fandom.com/wiki/Retro_Royale</t>
  </si>
  <si>
    <t xml:space="preserve">DeckShop card stats</t>
  </si>
  <si>
    <t xml:space="preserve">Range/radius, speed categories, durations, and overview stat reference.</t>
  </si>
  <si>
    <t xml:space="preserve">https://www.deckshop.pro/card/stats</t>
  </si>
  <si>
    <t xml:space="preserve">DeckShop hitpoints/damage</t>
  </si>
  <si>
    <t xml:space="preserve">Friendly level 11 HP/damage overview source; individual pages are included row-by-row.</t>
  </si>
  <si>
    <t xml:space="preserve">https://www.deckshop.pro/card/hitpoints</t>
  </si>
  <si>
    <t xml:space="preserve">Deckmelon card pages</t>
  </si>
  <si>
    <t xml:space="preserve">Per-card Level 11 snippets where available; row-specific pages included in the main sheet.</t>
  </si>
  <si>
    <t xml:space="preserve">https://deckmelon.com/cards/</t>
  </si>
  <si>
    <t xml:space="preserve">Fandom hidden stats: Mass</t>
  </si>
  <si>
    <t xml:space="preserve">Mass/weight definitions and table.</t>
  </si>
  <si>
    <t xml:space="preserve">https://clashroyale.fandom.com/wiki/User_blog:AesDragon/Hidden_card_stats:_Mass</t>
  </si>
  <si>
    <t xml:space="preserve">Fandom hidden stats: Collision radius</t>
  </si>
  <si>
    <t xml:space="preserve">Collision radius definitions and table.</t>
  </si>
  <si>
    <t xml:space="preserve">https://clashroyale.fandom.com/wiki/User_blog:AesDragon/Hidden_card_stats:_Collision_radius</t>
  </si>
  <si>
    <t xml:space="preserve">Fandom hidden stats: Sight range</t>
  </si>
  <si>
    <t xml:space="preserve">Sight range definitions and table.</t>
  </si>
  <si>
    <t xml:space="preserve">https://clashroyale.fandom.com/wiki/User_blog:AesDragon/Hidden_card_stats:_Sight_range</t>
  </si>
  <si>
    <t xml:space="preserve">Fandom hidden stats: Projectile speed</t>
  </si>
  <si>
    <t xml:space="preserve">Projectile travel speed definitions and table.</t>
  </si>
  <si>
    <t xml:space="preserve">https://clashroyale.fandom.com/wiki/User_blog:AesDragon/Hidden_card_stats:_Projectile_travel_speeds</t>
  </si>
  <si>
    <t xml:space="preserve">Fandom hidden stats: Area damage radius</t>
  </si>
  <si>
    <t xml:space="preserve">Splash/AoE radius table for non-spell cards; spell splash radii use effect radii from card stat pages.</t>
  </si>
  <si>
    <t xml:space="preserve">https://clashroyale.fandom.com/wiki/User_blog:AesDragon/Hidden_card_stats:_Area_damage_radius</t>
  </si>
  <si>
    <t xml:space="preserve">smlbiobot cr-csv characters.csv</t>
  </si>
  <si>
    <t xml:space="preserve">Older raw hidden/game-logic data; used only as a legacy cross-check reference.</t>
  </si>
  <si>
    <t xml:space="preserve">https://github.com/smlbiobot/cr-csv/blob/master/assets/csv_logic/characters.csv</t>
  </si>
  <si>
    <t xml:space="preserve">smlbiobot cr-csv projectiles.csv</t>
  </si>
  <si>
    <t xml:space="preserve">Older raw projectile data; used only as a legacy cross-check reference.</t>
  </si>
  <si>
    <t xml:space="preserve">https://github.com/smlbiobot/cr-csv/blob/master/assets/csv_logic/projectiles.csv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</si>
</sst>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B81" headerRowCount="1" totalsRowCount="0" totalsRowShown="0">
  <tableColumns count="28">
    <tableColumn id="1" name="#"/>
    <tableColumn id="2" name="Card"/>
    <tableColumn id="3" name="Type"/>
    <tableColumn id="4" name="Rarity"/>
    <tableColumn id="5" name="Elixir"/>
    <tableColumn id="6" name="Count / spawned units"/>
    <tableColumn id="7" name="Targets"/>
    <tableColumn id="8" name="Movement speed category"/>
    <tableColumn id="9" name="Movement speed number"/>
    <tableColumn id="10" name="Range / radius (tiles)"/>
    <tableColumn id="11" name="Hit speed / cadence"/>
    <tableColumn id="12" name="First hit speed"/>
    <tableColumn id="13" name="Load time"/>
    <tableColumn id="14" name="Deploy / cast time"/>
    <tableColumn id="15" name="Lifetime / duration"/>
    <tableColumn id="16" name="Level 11 HP / health"/>
    <tableColumn id="17" name="Shield HP"/>
    <tableColumn id="18" name="Level 11 damage / effect"/>
    <tableColumn id="19" name="DPS / total damage note"/>
    <tableColumn id="20" name="Projectile / attack object"/>
    <tableColumn id="21" name="Projectile speed (tiles/min)"/>
    <tableColumn id="22" name="Mass / weight"/>
    <tableColumn id="23" name="Collision radius (tiles)"/>
    <tableColumn id="24" name="Sight range"/>
    <tableColumn id="25" name="Quirks / mechanics"/>
    <tableColumn id="26" name="Data coverage"/>
    <tableColumn id="27" name="Card stats source URL"/>
    <tableColumn id="28" name="Hidden stat source URL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234375" defaultRowHeight="15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1" width="88.21"/>
  </cols>
  <sheetData>
    <row r="1" customFormat="false" ht="30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 t="s">
        <v>2</v>
      </c>
    </row>
    <row r="3" customFormat="false" ht="48" hidden="false" customHeight="true" outlineLevel="0" collapsed="false">
      <c r="A3" s="2" t="s">
        <v>3</v>
      </c>
      <c r="B3" s="2" t="s">
        <v>4</v>
      </c>
    </row>
    <row r="4" customFormat="false" ht="48" hidden="false" customHeight="true" outlineLevel="0" collapsed="false">
      <c r="A4" s="2" t="s">
        <v>5</v>
      </c>
      <c r="B4" s="2" t="s">
        <v>6</v>
      </c>
    </row>
    <row r="5" customFormat="false" ht="48" hidden="false" customHeight="true" outlineLevel="0" collapsed="false">
      <c r="A5" s="2" t="s">
        <v>7</v>
      </c>
      <c r="B5" s="2" t="s">
        <v>8</v>
      </c>
    </row>
    <row r="6" customFormat="false" ht="48" hidden="false" customHeight="true" outlineLevel="0" collapsed="false">
      <c r="A6" s="2" t="s">
        <v>9</v>
      </c>
      <c r="B6" s="2" t="s">
        <v>10</v>
      </c>
    </row>
    <row r="7" customFormat="false" ht="48" hidden="false" customHeight="true" outlineLevel="0" collapsed="false">
      <c r="A7" s="2" t="s">
        <v>11</v>
      </c>
      <c r="B7" s="2" t="s">
        <v>12</v>
      </c>
    </row>
    <row r="8" customFormat="false" ht="48" hidden="false" customHeight="true" outlineLevel="0" collapsed="false">
      <c r="A8" s="2" t="s">
        <v>13</v>
      </c>
      <c r="B8" s="2" t="n">
        <f aca="false">COUNTA('Retro 80 Cards'!B2:B81)</f>
        <v>80</v>
      </c>
    </row>
    <row r="9" customFormat="false" ht="48" hidden="false" customHeight="true" outlineLevel="0" collapsed="false">
      <c r="A9" s="2" t="s">
        <v>14</v>
      </c>
      <c r="B9" s="2" t="n">
        <f aca="false">COUNTIF('Retro 80 Cards'!C2:C81,"Troop")</f>
        <v>55</v>
      </c>
    </row>
    <row r="10" customFormat="false" ht="48" hidden="false" customHeight="true" outlineLevel="0" collapsed="false">
      <c r="A10" s="2" t="s">
        <v>15</v>
      </c>
      <c r="B10" s="2" t="n">
        <f aca="false">COUNTIF('Retro 80 Cards'!C2:C81,"Spell")</f>
        <v>14</v>
      </c>
    </row>
    <row r="11" customFormat="false" ht="48" hidden="false" customHeight="true" outlineLevel="0" collapsed="false">
      <c r="A11" s="2" t="s">
        <v>16</v>
      </c>
      <c r="B11" s="2" t="n">
        <f aca="false">COUNTIF('Retro 80 Cards'!C2:C81,"Building")</f>
        <v>11</v>
      </c>
    </row>
    <row r="13" customFormat="false" ht="15" hidden="false" customHeight="true" outlineLevel="0" collapsed="false">
      <c r="A13" s="1" t="s">
        <v>17</v>
      </c>
      <c r="B13" s="1" t="s">
        <v>18</v>
      </c>
    </row>
    <row r="14" customFormat="false" ht="15" hidden="false" customHeight="true" outlineLevel="0" collapsed="false">
      <c r="A14" s="1" t="s">
        <v>19</v>
      </c>
      <c r="B14" s="1" t="n">
        <f aca="false">COUNTIF('Retro 80 Cards'!D2:D81,"Common")</f>
        <v>21</v>
      </c>
    </row>
    <row r="15" customFormat="false" ht="15" hidden="false" customHeight="true" outlineLevel="0" collapsed="false">
      <c r="A15" s="1" t="s">
        <v>20</v>
      </c>
      <c r="B15" s="1" t="n">
        <f aca="false">COUNTIF('Retro 80 Cards'!D2:D81,"Rare")</f>
        <v>22</v>
      </c>
    </row>
    <row r="16" customFormat="false" ht="15" hidden="false" customHeight="true" outlineLevel="0" collapsed="false">
      <c r="A16" s="1" t="s">
        <v>21</v>
      </c>
      <c r="B16" s="1" t="n">
        <f aca="false">COUNTIF('Retro 80 Cards'!D2:D81,"Epic")</f>
        <v>23</v>
      </c>
    </row>
    <row r="17" customFormat="false" ht="15" hidden="false" customHeight="true" outlineLevel="0" collapsed="false">
      <c r="A17" s="1" t="s">
        <v>22</v>
      </c>
      <c r="B17" s="1" t="n">
        <f aca="false">COUNTIF('Retro 80 Cards'!D2:D81,"Legendary")</f>
        <v>14</v>
      </c>
    </row>
    <row r="18" customFormat="false" ht="15" hidden="false" customHeight="true" outlineLevel="0" collapsed="false">
      <c r="A18" s="1" t="s">
        <v>23</v>
      </c>
      <c r="B18" s="1" t="n">
        <v>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81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K3" activeCellId="0" sqref="K3"/>
    </sheetView>
  </sheetViews>
  <sheetFormatPr defaultColWidth="10.515625" defaultRowHeight="13.8" zeroHeight="false" outlineLevelRow="0" outlineLevelCol="0"/>
  <cols>
    <col collapsed="false" customWidth="true" hidden="false" outlineLevel="0" max="1" min="1" style="3" width="6.3"/>
    <col collapsed="false" customWidth="true" hidden="false" outlineLevel="0" max="2" min="2" style="3" width="27.73"/>
    <col collapsed="false" customWidth="true" hidden="false" outlineLevel="0" max="4" min="3" style="3" width="13.86"/>
    <col collapsed="false" customWidth="true" hidden="false" outlineLevel="0" max="5" min="5" style="3" width="10.08"/>
    <col collapsed="false" customWidth="true" hidden="false" outlineLevel="0" max="6" min="6" style="3" width="22.69"/>
    <col collapsed="false" customWidth="true" hidden="false" outlineLevel="0" max="7" min="7" style="3" width="18.9"/>
    <col collapsed="false" customWidth="true" hidden="false" outlineLevel="0" max="8" min="8" style="3" width="27.73"/>
    <col collapsed="false" customWidth="true" hidden="false" outlineLevel="0" max="9" min="9" style="3" width="16.38"/>
    <col collapsed="false" customWidth="true" hidden="false" outlineLevel="0" max="10" min="10" style="3" width="25.21"/>
    <col collapsed="false" customWidth="true" hidden="false" outlineLevel="0" max="11" min="11" style="3" width="22.69"/>
    <col collapsed="false" customWidth="true" hidden="false" outlineLevel="0" max="12" min="12" style="3" width="18.9"/>
    <col collapsed="false" customWidth="true" hidden="false" outlineLevel="0" max="13" min="13" style="3" width="20.17"/>
    <col collapsed="false" customWidth="true" hidden="false" outlineLevel="0" max="14" min="14" style="3" width="35.29"/>
    <col collapsed="false" customWidth="true" hidden="false" outlineLevel="0" max="15" min="15" style="3" width="22.69"/>
    <col collapsed="false" customWidth="true" hidden="false" outlineLevel="0" max="16" min="16" style="3" width="42.86"/>
    <col collapsed="false" customWidth="true" hidden="false" outlineLevel="0" max="17" min="17" style="3" width="30.24"/>
    <col collapsed="false" customWidth="true" hidden="false" outlineLevel="0" max="18" min="18" style="3" width="35.29"/>
    <col collapsed="false" customWidth="true" hidden="false" outlineLevel="0" max="19" min="19" style="3" width="22.69"/>
    <col collapsed="false" customWidth="true" hidden="false" outlineLevel="0" max="20" min="20" style="3" width="18.9"/>
    <col collapsed="false" customWidth="true" hidden="false" outlineLevel="0" max="21" min="21" style="3" width="22.69"/>
    <col collapsed="false" customWidth="true" hidden="false" outlineLevel="0" max="22" min="22" style="3" width="27.73"/>
    <col collapsed="false" customWidth="true" hidden="false" outlineLevel="0" max="23" min="23" style="3" width="52.92"/>
    <col collapsed="false" customWidth="true" hidden="false" outlineLevel="0" max="24" min="24" style="3" width="60.49"/>
    <col collapsed="false" customWidth="true" hidden="false" outlineLevel="0" max="27" min="25" style="3" width="52.92"/>
    <col collapsed="false" customWidth="true" hidden="false" outlineLevel="0" max="28" min="28" style="3" width="47.89"/>
    <col collapsed="false" customWidth="true" hidden="false" outlineLevel="0" max="29" min="29" style="3" width="25.21"/>
    <col collapsed="false" customWidth="true" hidden="false" outlineLevel="0" max="30" min="30" style="3" width="42.86"/>
    <col collapsed="false" customWidth="false" hidden="false" outlineLevel="0" max="1024" min="31" style="3" width="10.5"/>
  </cols>
  <sheetData>
    <row r="1" customFormat="false" ht="48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3" t="s">
        <v>35</v>
      </c>
      <c r="M1" s="3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3" t="s">
        <v>54</v>
      </c>
      <c r="AF1" s="3" t="s">
        <v>55</v>
      </c>
    </row>
    <row r="2" customFormat="false" ht="36" hidden="false" customHeight="true" outlineLevel="0" collapsed="false">
      <c r="A2" s="4" t="n">
        <v>1</v>
      </c>
      <c r="B2" s="4" t="s">
        <v>56</v>
      </c>
      <c r="C2" s="4" t="s">
        <v>57</v>
      </c>
      <c r="D2" s="4" t="s">
        <v>19</v>
      </c>
      <c r="E2" s="4" t="n">
        <v>3</v>
      </c>
      <c r="F2" s="4" t="s">
        <v>58</v>
      </c>
      <c r="G2" s="4" t="s">
        <v>59</v>
      </c>
      <c r="H2" s="4" t="s">
        <v>60</v>
      </c>
      <c r="I2" s="4" t="n">
        <v>90</v>
      </c>
      <c r="J2" s="4" t="s">
        <v>61</v>
      </c>
      <c r="K2" s="4" t="n">
        <v>1.2</v>
      </c>
      <c r="L2" s="3" t="n">
        <v>0.5</v>
      </c>
      <c r="M2" s="3" t="n">
        <v>0.5</v>
      </c>
      <c r="N2" s="4" t="s">
        <v>62</v>
      </c>
      <c r="O2" s="4" t="s">
        <v>63</v>
      </c>
      <c r="P2" s="4" t="s">
        <v>64</v>
      </c>
      <c r="Q2" s="4"/>
      <c r="R2" s="4" t="s">
        <v>65</v>
      </c>
      <c r="S2" s="4" t="s">
        <v>66</v>
      </c>
      <c r="T2" s="4" t="s">
        <v>67</v>
      </c>
      <c r="U2" s="4" t="s">
        <v>68</v>
      </c>
      <c r="V2" s="4" t="n">
        <v>2</v>
      </c>
      <c r="W2" s="4" t="n">
        <v>0.5</v>
      </c>
      <c r="X2" s="4" t="n">
        <v>5.5</v>
      </c>
      <c r="Y2" s="4" t="s">
        <v>69</v>
      </c>
      <c r="Z2" s="4" t="s">
        <v>70</v>
      </c>
      <c r="AA2" s="4" t="s">
        <v>71</v>
      </c>
      <c r="AB2" s="4" t="s">
        <v>72</v>
      </c>
      <c r="AC2" s="4" t="s">
        <v>73</v>
      </c>
      <c r="AD2" s="4" t="s">
        <v>74</v>
      </c>
      <c r="AE2" s="3" t="s">
        <v>63</v>
      </c>
      <c r="AF2" s="3" t="s">
        <v>75</v>
      </c>
    </row>
    <row r="3" customFormat="false" ht="36" hidden="false" customHeight="true" outlineLevel="0" collapsed="false">
      <c r="A3" s="4" t="n">
        <v>2</v>
      </c>
      <c r="B3" s="4" t="s">
        <v>76</v>
      </c>
      <c r="C3" s="4" t="s">
        <v>57</v>
      </c>
      <c r="D3" s="4" t="s">
        <v>19</v>
      </c>
      <c r="E3" s="4" t="n">
        <v>3</v>
      </c>
      <c r="F3" s="4" t="s">
        <v>77</v>
      </c>
      <c r="G3" s="4" t="s">
        <v>59</v>
      </c>
      <c r="H3" s="4" t="s">
        <v>78</v>
      </c>
      <c r="I3" s="4" t="n">
        <v>60</v>
      </c>
      <c r="J3" s="4" t="s">
        <v>79</v>
      </c>
      <c r="K3" s="4" t="n">
        <v>0.9</v>
      </c>
      <c r="L3" s="3" t="n">
        <v>0</v>
      </c>
      <c r="M3" s="3" t="n">
        <v>1.1</v>
      </c>
      <c r="N3" s="4" t="s">
        <v>62</v>
      </c>
      <c r="O3" s="4" t="s">
        <v>63</v>
      </c>
      <c r="P3" s="4" t="s">
        <v>80</v>
      </c>
      <c r="Q3" s="4"/>
      <c r="R3" s="4" t="s">
        <v>81</v>
      </c>
      <c r="S3" s="4" t="s">
        <v>66</v>
      </c>
      <c r="T3" s="4" t="s">
        <v>82</v>
      </c>
      <c r="U3" s="4" t="s">
        <v>83</v>
      </c>
      <c r="V3" s="4" t="n">
        <v>3</v>
      </c>
      <c r="W3" s="4" t="n">
        <v>0.5</v>
      </c>
      <c r="X3" s="4" t="n">
        <v>5.5</v>
      </c>
      <c r="Y3" s="4" t="s">
        <v>84</v>
      </c>
      <c r="Z3" s="4" t="s">
        <v>70</v>
      </c>
      <c r="AA3" s="4" t="s">
        <v>85</v>
      </c>
      <c r="AB3" s="4" t="s">
        <v>72</v>
      </c>
      <c r="AC3" s="4" t="s">
        <v>73</v>
      </c>
      <c r="AD3" s="4" t="s">
        <v>86</v>
      </c>
      <c r="AE3" s="3" t="s">
        <v>63</v>
      </c>
      <c r="AF3" s="3" t="s">
        <v>75</v>
      </c>
    </row>
    <row r="4" customFormat="false" ht="36" hidden="false" customHeight="true" outlineLevel="0" collapsed="false">
      <c r="A4" s="4" t="n">
        <v>3</v>
      </c>
      <c r="B4" s="4" t="s">
        <v>87</v>
      </c>
      <c r="C4" s="4" t="s">
        <v>57</v>
      </c>
      <c r="D4" s="4" t="s">
        <v>19</v>
      </c>
      <c r="E4" s="4" t="n">
        <v>3</v>
      </c>
      <c r="F4" s="4" t="s">
        <v>88</v>
      </c>
      <c r="G4" s="4" t="s">
        <v>89</v>
      </c>
      <c r="H4" s="4" t="s">
        <v>78</v>
      </c>
      <c r="I4" s="4" t="n">
        <v>60</v>
      </c>
      <c r="J4" s="4" t="s">
        <v>90</v>
      </c>
      <c r="K4" s="4" t="n">
        <v>1.2</v>
      </c>
      <c r="L4" s="3" t="n">
        <v>0.5</v>
      </c>
      <c r="M4" s="3" t="n">
        <v>0.7</v>
      </c>
      <c r="N4" s="4" t="s">
        <v>62</v>
      </c>
      <c r="O4" s="4" t="s">
        <v>63</v>
      </c>
      <c r="P4" s="4" t="s">
        <v>91</v>
      </c>
      <c r="Q4" s="4"/>
      <c r="R4" s="4" t="s">
        <v>92</v>
      </c>
      <c r="S4" s="4" t="s">
        <v>66</v>
      </c>
      <c r="T4" s="4" t="s">
        <v>93</v>
      </c>
      <c r="U4" s="4" t="s">
        <v>94</v>
      </c>
      <c r="V4" s="4" t="n">
        <v>6</v>
      </c>
      <c r="W4" s="4" t="n">
        <v>0.5</v>
      </c>
      <c r="X4" s="4" t="n">
        <v>5.5</v>
      </c>
      <c r="Y4" s="4" t="s">
        <v>95</v>
      </c>
      <c r="Z4" s="4" t="s">
        <v>70</v>
      </c>
      <c r="AA4" s="4" t="s">
        <v>96</v>
      </c>
      <c r="AB4" s="4" t="s">
        <v>72</v>
      </c>
      <c r="AC4" s="4" t="s">
        <v>73</v>
      </c>
      <c r="AD4" s="4" t="s">
        <v>97</v>
      </c>
      <c r="AE4" s="3" t="s">
        <v>63</v>
      </c>
      <c r="AF4" s="3" t="s">
        <v>75</v>
      </c>
    </row>
    <row r="5" customFormat="false" ht="36" hidden="false" customHeight="true" outlineLevel="0" collapsed="false">
      <c r="A5" s="4" t="n">
        <v>4</v>
      </c>
      <c r="B5" s="4" t="s">
        <v>98</v>
      </c>
      <c r="C5" s="4" t="s">
        <v>57</v>
      </c>
      <c r="D5" s="4" t="s">
        <v>19</v>
      </c>
      <c r="E5" s="4" t="n">
        <v>2</v>
      </c>
      <c r="F5" s="4" t="s">
        <v>58</v>
      </c>
      <c r="G5" s="4" t="s">
        <v>59</v>
      </c>
      <c r="H5" s="4" t="s">
        <v>99</v>
      </c>
      <c r="I5" s="4" t="n">
        <v>120</v>
      </c>
      <c r="J5" s="4" t="s">
        <v>79</v>
      </c>
      <c r="K5" s="4" t="n">
        <v>1.7</v>
      </c>
      <c r="L5" s="3" t="n">
        <v>0.5</v>
      </c>
      <c r="M5" s="3" t="n">
        <v>1.2</v>
      </c>
      <c r="N5" s="4" t="s">
        <v>62</v>
      </c>
      <c r="O5" s="4" t="s">
        <v>63</v>
      </c>
      <c r="P5" s="4" t="s">
        <v>100</v>
      </c>
      <c r="Q5" s="4"/>
      <c r="R5" s="4" t="s">
        <v>101</v>
      </c>
      <c r="S5" s="4" t="s">
        <v>66</v>
      </c>
      <c r="T5" s="4" t="s">
        <v>102</v>
      </c>
      <c r="U5" s="4" t="s">
        <v>103</v>
      </c>
      <c r="V5" s="4" t="n">
        <v>1</v>
      </c>
      <c r="W5" s="4" t="n">
        <v>0.5</v>
      </c>
      <c r="X5" s="4" t="n">
        <v>5.5</v>
      </c>
      <c r="Y5" s="4" t="s">
        <v>104</v>
      </c>
      <c r="Z5" s="4" t="s">
        <v>70</v>
      </c>
      <c r="AA5" s="4" t="s">
        <v>105</v>
      </c>
      <c r="AB5" s="4" t="s">
        <v>72</v>
      </c>
      <c r="AC5" s="4" t="s">
        <v>73</v>
      </c>
      <c r="AD5" s="4" t="s">
        <v>106</v>
      </c>
      <c r="AE5" s="3" t="s">
        <v>63</v>
      </c>
      <c r="AF5" s="3" t="s">
        <v>75</v>
      </c>
    </row>
    <row r="6" customFormat="false" ht="36" hidden="false" customHeight="true" outlineLevel="0" collapsed="false">
      <c r="A6" s="4" t="n">
        <v>5</v>
      </c>
      <c r="B6" s="4" t="s">
        <v>107</v>
      </c>
      <c r="C6" s="4" t="s">
        <v>57</v>
      </c>
      <c r="D6" s="4" t="s">
        <v>19</v>
      </c>
      <c r="E6" s="4" t="n">
        <v>2</v>
      </c>
      <c r="F6" s="4" t="s">
        <v>108</v>
      </c>
      <c r="G6" s="4" t="s">
        <v>89</v>
      </c>
      <c r="H6" s="4" t="s">
        <v>99</v>
      </c>
      <c r="I6" s="4" t="n">
        <v>120</v>
      </c>
      <c r="J6" s="4" t="s">
        <v>109</v>
      </c>
      <c r="K6" s="4" t="n">
        <v>1.1</v>
      </c>
      <c r="L6" s="3" t="n">
        <v>0.2</v>
      </c>
      <c r="M6" s="3" t="n">
        <v>0.9</v>
      </c>
      <c r="N6" s="4" t="s">
        <v>62</v>
      </c>
      <c r="O6" s="4" t="s">
        <v>63</v>
      </c>
      <c r="P6" s="4" t="s">
        <v>92</v>
      </c>
      <c r="Q6" s="4"/>
      <c r="R6" s="4" t="s">
        <v>110</v>
      </c>
      <c r="S6" s="4" t="s">
        <v>66</v>
      </c>
      <c r="T6" s="4" t="s">
        <v>93</v>
      </c>
      <c r="U6" s="4" t="s">
        <v>94</v>
      </c>
      <c r="V6" s="4" t="n">
        <v>2</v>
      </c>
      <c r="W6" s="4" t="n">
        <v>0.5</v>
      </c>
      <c r="X6" s="4" t="n">
        <v>5.5</v>
      </c>
      <c r="Y6" s="4" t="s">
        <v>111</v>
      </c>
      <c r="Z6" s="4" t="s">
        <v>70</v>
      </c>
      <c r="AA6" s="4" t="s">
        <v>112</v>
      </c>
      <c r="AB6" s="4" t="s">
        <v>72</v>
      </c>
      <c r="AC6" s="4" t="s">
        <v>73</v>
      </c>
      <c r="AD6" s="4" t="s">
        <v>113</v>
      </c>
      <c r="AE6" s="3" t="s">
        <v>63</v>
      </c>
      <c r="AF6" s="3" t="s">
        <v>75</v>
      </c>
    </row>
    <row r="7" customFormat="false" ht="36" hidden="false" customHeight="true" outlineLevel="0" collapsed="false">
      <c r="A7" s="4" t="n">
        <v>6</v>
      </c>
      <c r="B7" s="4" t="s">
        <v>114</v>
      </c>
      <c r="C7" s="4" t="s">
        <v>57</v>
      </c>
      <c r="D7" s="4" t="s">
        <v>19</v>
      </c>
      <c r="E7" s="4" t="n">
        <v>2</v>
      </c>
      <c r="F7" s="4" t="s">
        <v>88</v>
      </c>
      <c r="G7" s="4" t="s">
        <v>89</v>
      </c>
      <c r="H7" s="4" t="s">
        <v>78</v>
      </c>
      <c r="I7" s="4" t="n">
        <v>60</v>
      </c>
      <c r="J7" s="4" t="s">
        <v>115</v>
      </c>
      <c r="K7" s="4" t="n">
        <v>1.8</v>
      </c>
      <c r="L7" s="3" t="n">
        <v>0.2</v>
      </c>
      <c r="M7" s="3" t="n">
        <v>1.6</v>
      </c>
      <c r="N7" s="4" t="s">
        <v>62</v>
      </c>
      <c r="O7" s="4" t="s">
        <v>63</v>
      </c>
      <c r="P7" s="4" t="s">
        <v>80</v>
      </c>
      <c r="Q7" s="4"/>
      <c r="R7" s="4" t="s">
        <v>116</v>
      </c>
      <c r="S7" s="4" t="s">
        <v>66</v>
      </c>
      <c r="T7" s="4" t="s">
        <v>117</v>
      </c>
      <c r="U7" s="4" t="s">
        <v>118</v>
      </c>
      <c r="V7" s="4" t="n">
        <v>4</v>
      </c>
      <c r="W7" s="4" t="n">
        <v>0.5</v>
      </c>
      <c r="X7" s="4" t="n">
        <v>5.5</v>
      </c>
      <c r="Y7" s="4" t="s">
        <v>119</v>
      </c>
      <c r="Z7" s="4" t="s">
        <v>70</v>
      </c>
      <c r="AA7" s="4" t="s">
        <v>120</v>
      </c>
      <c r="AB7" s="4" t="s">
        <v>72</v>
      </c>
      <c r="AC7" s="4" t="s">
        <v>73</v>
      </c>
      <c r="AD7" s="4" t="s">
        <v>121</v>
      </c>
      <c r="AE7" s="3" t="s">
        <v>122</v>
      </c>
      <c r="AF7" s="3" t="s">
        <v>123</v>
      </c>
    </row>
    <row r="8" customFormat="false" ht="36" hidden="false" customHeight="true" outlineLevel="0" collapsed="false">
      <c r="A8" s="4" t="n">
        <v>7</v>
      </c>
      <c r="B8" s="4" t="s">
        <v>124</v>
      </c>
      <c r="C8" s="4" t="s">
        <v>57</v>
      </c>
      <c r="D8" s="4" t="s">
        <v>19</v>
      </c>
      <c r="E8" s="4" t="n">
        <v>1</v>
      </c>
      <c r="F8" s="4" t="s">
        <v>58</v>
      </c>
      <c r="G8" s="4" t="s">
        <v>89</v>
      </c>
      <c r="H8" s="4" t="s">
        <v>60</v>
      </c>
      <c r="I8" s="4" t="n">
        <v>90</v>
      </c>
      <c r="J8" s="4" t="s">
        <v>109</v>
      </c>
      <c r="K8" s="4" t="n">
        <v>1</v>
      </c>
      <c r="L8" s="3" t="n">
        <v>0.5</v>
      </c>
      <c r="M8" s="3" t="n">
        <v>0.5</v>
      </c>
      <c r="N8" s="4" t="s">
        <v>62</v>
      </c>
      <c r="O8" s="4" t="s">
        <v>63</v>
      </c>
      <c r="P8" s="4" t="s">
        <v>125</v>
      </c>
      <c r="Q8" s="4"/>
      <c r="R8" s="4" t="s">
        <v>126</v>
      </c>
      <c r="S8" s="4" t="s">
        <v>66</v>
      </c>
      <c r="T8" s="4" t="s">
        <v>93</v>
      </c>
      <c r="U8" s="4" t="s">
        <v>94</v>
      </c>
      <c r="V8" s="4" t="n">
        <v>1</v>
      </c>
      <c r="W8" s="4" t="n">
        <v>0.5</v>
      </c>
      <c r="X8" s="4" t="n">
        <v>5.5</v>
      </c>
      <c r="Y8" s="4" t="s">
        <v>127</v>
      </c>
      <c r="Z8" s="4" t="s">
        <v>70</v>
      </c>
      <c r="AA8" s="4" t="s">
        <v>128</v>
      </c>
      <c r="AB8" s="4" t="s">
        <v>72</v>
      </c>
      <c r="AC8" s="4" t="s">
        <v>73</v>
      </c>
      <c r="AD8" s="4" t="s">
        <v>129</v>
      </c>
      <c r="AE8" s="3" t="s">
        <v>63</v>
      </c>
      <c r="AF8" s="3" t="s">
        <v>75</v>
      </c>
    </row>
    <row r="9" customFormat="false" ht="36" hidden="false" customHeight="true" outlineLevel="0" collapsed="false">
      <c r="A9" s="4" t="n">
        <v>8</v>
      </c>
      <c r="B9" s="4" t="s">
        <v>130</v>
      </c>
      <c r="C9" s="4" t="s">
        <v>57</v>
      </c>
      <c r="D9" s="4" t="s">
        <v>19</v>
      </c>
      <c r="E9" s="4" t="n">
        <v>5</v>
      </c>
      <c r="F9" s="4" t="s">
        <v>131</v>
      </c>
      <c r="G9" s="4" t="s">
        <v>89</v>
      </c>
      <c r="H9" s="4" t="s">
        <v>78</v>
      </c>
      <c r="I9" s="4" t="n">
        <v>60</v>
      </c>
      <c r="J9" s="4" t="s">
        <v>132</v>
      </c>
      <c r="K9" s="4" t="n">
        <v>1.4</v>
      </c>
      <c r="L9" s="3" t="n">
        <v>0.4</v>
      </c>
      <c r="M9" s="3" t="n">
        <v>1</v>
      </c>
      <c r="N9" s="4" t="s">
        <v>62</v>
      </c>
      <c r="O9" s="4" t="s">
        <v>63</v>
      </c>
      <c r="P9" s="4" t="s">
        <v>133</v>
      </c>
      <c r="Q9" s="4"/>
      <c r="R9" s="4" t="s">
        <v>134</v>
      </c>
      <c r="S9" s="4" t="s">
        <v>66</v>
      </c>
      <c r="T9" s="4" t="s">
        <v>93</v>
      </c>
      <c r="U9" s="4" t="s">
        <v>94</v>
      </c>
      <c r="V9" s="4" t="n">
        <v>4</v>
      </c>
      <c r="W9" s="4" t="n">
        <v>0.5</v>
      </c>
      <c r="X9" s="4" t="n">
        <v>5.5</v>
      </c>
      <c r="Y9" s="4" t="s">
        <v>135</v>
      </c>
      <c r="Z9" s="4" t="s">
        <v>70</v>
      </c>
      <c r="AA9" s="4" t="s">
        <v>136</v>
      </c>
      <c r="AB9" s="4" t="s">
        <v>72</v>
      </c>
      <c r="AC9" s="4" t="s">
        <v>73</v>
      </c>
      <c r="AD9" s="4" t="s">
        <v>137</v>
      </c>
      <c r="AE9" s="3" t="s">
        <v>63</v>
      </c>
      <c r="AF9" s="3" t="s">
        <v>75</v>
      </c>
    </row>
    <row r="10" customFormat="false" ht="36" hidden="false" customHeight="true" outlineLevel="0" collapsed="false">
      <c r="A10" s="4" t="n">
        <v>9</v>
      </c>
      <c r="B10" s="4" t="s">
        <v>138</v>
      </c>
      <c r="C10" s="4" t="s">
        <v>57</v>
      </c>
      <c r="D10" s="4" t="s">
        <v>19</v>
      </c>
      <c r="E10" s="4" t="n">
        <v>1</v>
      </c>
      <c r="F10" s="4" t="s">
        <v>88</v>
      </c>
      <c r="G10" s="4" t="s">
        <v>59</v>
      </c>
      <c r="H10" s="4" t="s">
        <v>99</v>
      </c>
      <c r="I10" s="4" t="n">
        <v>120</v>
      </c>
      <c r="J10" s="4" t="s">
        <v>61</v>
      </c>
      <c r="K10" s="4" t="s">
        <v>139</v>
      </c>
      <c r="N10" s="4" t="s">
        <v>62</v>
      </c>
      <c r="O10" s="4" t="s">
        <v>63</v>
      </c>
      <c r="P10" s="4" t="s">
        <v>64</v>
      </c>
      <c r="Q10" s="4"/>
      <c r="R10" s="4" t="s">
        <v>140</v>
      </c>
      <c r="S10" s="4" t="s">
        <v>66</v>
      </c>
      <c r="T10" s="4" t="s">
        <v>67</v>
      </c>
      <c r="U10" s="4" t="s">
        <v>118</v>
      </c>
      <c r="V10" s="4" t="n">
        <v>1</v>
      </c>
      <c r="W10" s="4" t="n">
        <v>0.4</v>
      </c>
      <c r="X10" s="4" t="n">
        <v>5.5</v>
      </c>
      <c r="Y10" s="4" t="s">
        <v>141</v>
      </c>
      <c r="Z10" s="4" t="s">
        <v>70</v>
      </c>
      <c r="AA10" s="4" t="s">
        <v>142</v>
      </c>
      <c r="AB10" s="4" t="s">
        <v>72</v>
      </c>
      <c r="AC10" s="4" t="s">
        <v>73</v>
      </c>
      <c r="AD10" s="4" t="s">
        <v>143</v>
      </c>
      <c r="AE10" s="3" t="s">
        <v>144</v>
      </c>
      <c r="AF10" s="3" t="s">
        <v>145</v>
      </c>
    </row>
    <row r="11" customFormat="false" ht="36" hidden="false" customHeight="true" outlineLevel="0" collapsed="false">
      <c r="A11" s="4" t="n">
        <v>10</v>
      </c>
      <c r="B11" s="4" t="s">
        <v>146</v>
      </c>
      <c r="C11" s="4" t="s">
        <v>57</v>
      </c>
      <c r="D11" s="4" t="s">
        <v>19</v>
      </c>
      <c r="E11" s="4" t="n">
        <v>2</v>
      </c>
      <c r="F11" s="4" t="s">
        <v>131</v>
      </c>
      <c r="G11" s="4" t="s">
        <v>59</v>
      </c>
      <c r="H11" s="4" t="s">
        <v>99</v>
      </c>
      <c r="I11" s="4" t="n">
        <v>120</v>
      </c>
      <c r="J11" s="4" t="s">
        <v>90</v>
      </c>
      <c r="K11" s="4" t="n">
        <v>1.3</v>
      </c>
      <c r="L11" s="3" t="n">
        <v>0.6</v>
      </c>
      <c r="M11" s="3" t="n">
        <v>0.7</v>
      </c>
      <c r="N11" s="4" t="s">
        <v>62</v>
      </c>
      <c r="O11" s="4" t="s">
        <v>63</v>
      </c>
      <c r="P11" s="4" t="s">
        <v>125</v>
      </c>
      <c r="Q11" s="4"/>
      <c r="R11" s="4" t="s">
        <v>147</v>
      </c>
      <c r="S11" s="4" t="s">
        <v>66</v>
      </c>
      <c r="T11" s="4" t="s">
        <v>93</v>
      </c>
      <c r="U11" s="4" t="s">
        <v>94</v>
      </c>
      <c r="V11" s="4" t="n">
        <v>1</v>
      </c>
      <c r="W11" s="4" t="n">
        <v>0.5</v>
      </c>
      <c r="X11" s="4" t="n">
        <v>5.5</v>
      </c>
      <c r="Y11" s="4" t="s">
        <v>148</v>
      </c>
      <c r="Z11" s="4" t="s">
        <v>70</v>
      </c>
      <c r="AA11" s="4" t="s">
        <v>149</v>
      </c>
      <c r="AB11" s="4" t="s">
        <v>72</v>
      </c>
      <c r="AC11" s="4" t="s">
        <v>73</v>
      </c>
      <c r="AD11" s="4" t="s">
        <v>106</v>
      </c>
      <c r="AE11" s="3" t="s">
        <v>63</v>
      </c>
      <c r="AF11" s="3" t="s">
        <v>75</v>
      </c>
    </row>
    <row r="12" customFormat="false" ht="36" hidden="false" customHeight="true" outlineLevel="0" collapsed="false">
      <c r="A12" s="4" t="n">
        <v>11</v>
      </c>
      <c r="B12" s="4" t="s">
        <v>150</v>
      </c>
      <c r="C12" s="4" t="s">
        <v>57</v>
      </c>
      <c r="D12" s="4" t="s">
        <v>19</v>
      </c>
      <c r="E12" s="4" t="n">
        <v>6</v>
      </c>
      <c r="F12" s="4" t="s">
        <v>88</v>
      </c>
      <c r="G12" s="4" t="s">
        <v>16</v>
      </c>
      <c r="H12" s="4" t="s">
        <v>151</v>
      </c>
      <c r="I12" s="4" t="n">
        <v>45</v>
      </c>
      <c r="J12" s="4" t="s">
        <v>79</v>
      </c>
      <c r="K12" s="4" t="n">
        <v>1.7</v>
      </c>
      <c r="L12" s="3" t="n">
        <v>0.7</v>
      </c>
      <c r="M12" s="3" t="n">
        <v>1</v>
      </c>
      <c r="N12" s="4" t="s">
        <v>62</v>
      </c>
      <c r="O12" s="4" t="s">
        <v>63</v>
      </c>
      <c r="P12" s="4" t="s">
        <v>152</v>
      </c>
      <c r="Q12" s="4"/>
      <c r="R12" s="4" t="s">
        <v>153</v>
      </c>
      <c r="S12" s="4" t="s">
        <v>66</v>
      </c>
      <c r="T12" s="4" t="s">
        <v>154</v>
      </c>
      <c r="U12" s="4" t="s">
        <v>68</v>
      </c>
      <c r="V12" s="4" t="n">
        <v>18</v>
      </c>
      <c r="W12" s="4" t="n">
        <v>0.75</v>
      </c>
      <c r="X12" s="4" t="n">
        <v>7.5</v>
      </c>
      <c r="Y12" s="4" t="s">
        <v>155</v>
      </c>
      <c r="Z12" s="4" t="s">
        <v>70</v>
      </c>
      <c r="AA12" s="4" t="s">
        <v>156</v>
      </c>
      <c r="AB12" s="4" t="s">
        <v>72</v>
      </c>
      <c r="AC12" s="4" t="s">
        <v>73</v>
      </c>
      <c r="AD12" s="4" t="s">
        <v>157</v>
      </c>
      <c r="AE12" s="3" t="s">
        <v>63</v>
      </c>
      <c r="AF12" s="3" t="s">
        <v>75</v>
      </c>
    </row>
    <row r="13" customFormat="false" ht="36" hidden="false" customHeight="true" outlineLevel="0" collapsed="false">
      <c r="A13" s="4" t="n">
        <v>12</v>
      </c>
      <c r="B13" s="4" t="s">
        <v>158</v>
      </c>
      <c r="C13" s="4" t="s">
        <v>57</v>
      </c>
      <c r="D13" s="4" t="s">
        <v>19</v>
      </c>
      <c r="E13" s="4" t="n">
        <v>1</v>
      </c>
      <c r="F13" s="4" t="s">
        <v>88</v>
      </c>
      <c r="G13" s="4" t="s">
        <v>59</v>
      </c>
      <c r="H13" s="4" t="s">
        <v>99</v>
      </c>
      <c r="I13" s="4" t="n">
        <v>120</v>
      </c>
      <c r="J13" s="4" t="s">
        <v>61</v>
      </c>
      <c r="K13" s="4" t="s">
        <v>139</v>
      </c>
      <c r="L13" s="3" t="n">
        <v>0.2</v>
      </c>
      <c r="M13" s="3" t="n">
        <v>0.1</v>
      </c>
      <c r="N13" s="4" t="s">
        <v>62</v>
      </c>
      <c r="O13" s="4" t="s">
        <v>63</v>
      </c>
      <c r="P13" s="4" t="s">
        <v>64</v>
      </c>
      <c r="Q13" s="4"/>
      <c r="R13" s="4" t="s">
        <v>159</v>
      </c>
      <c r="S13" s="4" t="s">
        <v>66</v>
      </c>
      <c r="T13" s="4" t="s">
        <v>67</v>
      </c>
      <c r="U13" s="4" t="s">
        <v>118</v>
      </c>
      <c r="V13" s="4" t="n">
        <v>1</v>
      </c>
      <c r="W13" s="4" t="n">
        <v>0.4</v>
      </c>
      <c r="X13" s="4" t="n">
        <v>5.5</v>
      </c>
      <c r="Y13" s="4" t="s">
        <v>160</v>
      </c>
      <c r="Z13" s="4" t="s">
        <v>70</v>
      </c>
      <c r="AA13" s="4" t="s">
        <v>161</v>
      </c>
      <c r="AB13" s="4" t="s">
        <v>72</v>
      </c>
      <c r="AC13" s="4" t="s">
        <v>73</v>
      </c>
      <c r="AD13" s="4" t="s">
        <v>162</v>
      </c>
      <c r="AE13" s="3" t="s">
        <v>122</v>
      </c>
      <c r="AF13" s="3" t="s">
        <v>163</v>
      </c>
    </row>
    <row r="14" customFormat="false" ht="36" hidden="false" customHeight="true" outlineLevel="0" collapsed="false">
      <c r="A14" s="4" t="n">
        <v>13</v>
      </c>
      <c r="B14" s="4" t="s">
        <v>164</v>
      </c>
      <c r="C14" s="4" t="s">
        <v>57</v>
      </c>
      <c r="D14" s="4" t="s">
        <v>19</v>
      </c>
      <c r="E14" s="4" t="n">
        <v>3</v>
      </c>
      <c r="F14" s="4" t="s">
        <v>165</v>
      </c>
      <c r="G14" s="4" t="s">
        <v>166</v>
      </c>
      <c r="H14" s="4" t="s">
        <v>60</v>
      </c>
      <c r="I14" s="4" t="n">
        <v>90</v>
      </c>
      <c r="J14" s="4" t="s">
        <v>167</v>
      </c>
      <c r="K14" s="4" t="s">
        <v>168</v>
      </c>
      <c r="L14" s="3" t="n">
        <v>0.1</v>
      </c>
      <c r="M14" s="3" t="n">
        <v>0.2</v>
      </c>
      <c r="N14" s="4" t="s">
        <v>62</v>
      </c>
      <c r="O14" s="4" t="s">
        <v>63</v>
      </c>
      <c r="P14" s="4" t="s">
        <v>169</v>
      </c>
      <c r="Q14" s="4"/>
      <c r="R14" s="4" t="s">
        <v>170</v>
      </c>
      <c r="S14" s="4" t="s">
        <v>66</v>
      </c>
      <c r="T14" s="4" t="s">
        <v>171</v>
      </c>
      <c r="U14" s="4" t="s">
        <v>94</v>
      </c>
      <c r="V14" s="4" t="n">
        <v>7</v>
      </c>
      <c r="W14" s="4" t="n">
        <v>0.5</v>
      </c>
      <c r="X14" s="4" t="n">
        <v>7.7</v>
      </c>
      <c r="Y14" s="4" t="s">
        <v>172</v>
      </c>
      <c r="Z14" s="4" t="s">
        <v>70</v>
      </c>
      <c r="AA14" s="4" t="s">
        <v>173</v>
      </c>
      <c r="AB14" s="4" t="s">
        <v>72</v>
      </c>
      <c r="AC14" s="4" t="s">
        <v>73</v>
      </c>
      <c r="AD14" s="4" t="s">
        <v>174</v>
      </c>
      <c r="AE14" s="3" t="s">
        <v>175</v>
      </c>
      <c r="AF14" s="3" t="s">
        <v>176</v>
      </c>
    </row>
    <row r="15" customFormat="false" ht="36" hidden="false" customHeight="true" outlineLevel="0" collapsed="false">
      <c r="A15" s="4" t="n">
        <v>14</v>
      </c>
      <c r="B15" s="4" t="s">
        <v>177</v>
      </c>
      <c r="C15" s="4" t="s">
        <v>57</v>
      </c>
      <c r="D15" s="4" t="s">
        <v>19</v>
      </c>
      <c r="E15" s="4" t="n">
        <v>3</v>
      </c>
      <c r="F15" s="4" t="s">
        <v>178</v>
      </c>
      <c r="G15" s="4" t="s">
        <v>179</v>
      </c>
      <c r="H15" s="4" t="s">
        <v>63</v>
      </c>
      <c r="I15" s="4" t="s">
        <v>63</v>
      </c>
      <c r="J15" s="4" t="s">
        <v>180</v>
      </c>
      <c r="K15" s="4" t="s">
        <v>181</v>
      </c>
      <c r="N15" s="4" t="s">
        <v>62</v>
      </c>
      <c r="O15" s="4" t="s">
        <v>63</v>
      </c>
      <c r="P15" s="4" t="s">
        <v>182</v>
      </c>
      <c r="Q15" s="4"/>
      <c r="R15" s="4" t="s">
        <v>183</v>
      </c>
      <c r="S15" s="4" t="s">
        <v>66</v>
      </c>
      <c r="T15" s="4" t="s">
        <v>93</v>
      </c>
      <c r="U15" s="4" t="s">
        <v>94</v>
      </c>
      <c r="V15" s="4" t="s">
        <v>184</v>
      </c>
      <c r="W15" s="4" t="n">
        <v>0.5</v>
      </c>
      <c r="X15" s="4" t="n">
        <v>5.5</v>
      </c>
      <c r="Y15" s="4" t="s">
        <v>185</v>
      </c>
      <c r="Z15" s="4" t="s">
        <v>70</v>
      </c>
      <c r="AA15" s="4" t="s">
        <v>186</v>
      </c>
      <c r="AB15" s="4" t="s">
        <v>72</v>
      </c>
      <c r="AC15" s="4" t="s">
        <v>73</v>
      </c>
      <c r="AD15" s="4" t="s">
        <v>106</v>
      </c>
      <c r="AE15" s="3" t="s">
        <v>63</v>
      </c>
      <c r="AF15" s="3" t="s">
        <v>75</v>
      </c>
    </row>
    <row r="16" customFormat="false" ht="36" hidden="false" customHeight="true" outlineLevel="0" collapsed="false">
      <c r="A16" s="4" t="n">
        <v>15</v>
      </c>
      <c r="B16" s="4" t="s">
        <v>187</v>
      </c>
      <c r="C16" s="4" t="s">
        <v>57</v>
      </c>
      <c r="D16" s="4" t="s">
        <v>19</v>
      </c>
      <c r="E16" s="4" t="n">
        <v>6</v>
      </c>
      <c r="F16" s="4" t="s">
        <v>77</v>
      </c>
      <c r="G16" s="4" t="s">
        <v>89</v>
      </c>
      <c r="H16" s="4" t="s">
        <v>60</v>
      </c>
      <c r="I16" s="4" t="n">
        <v>90</v>
      </c>
      <c r="J16" s="4" t="s">
        <v>188</v>
      </c>
      <c r="K16" s="4" t="n">
        <v>1.4</v>
      </c>
      <c r="N16" s="4" t="s">
        <v>62</v>
      </c>
      <c r="O16" s="4" t="s">
        <v>63</v>
      </c>
      <c r="P16" s="4" t="s">
        <v>189</v>
      </c>
      <c r="Q16" s="4"/>
      <c r="R16" s="4" t="s">
        <v>190</v>
      </c>
      <c r="S16" s="4" t="s">
        <v>66</v>
      </c>
      <c r="T16" s="4" t="s">
        <v>93</v>
      </c>
      <c r="U16" s="4" t="s">
        <v>94</v>
      </c>
      <c r="V16" s="4" t="n">
        <v>4</v>
      </c>
      <c r="W16" s="4" t="n">
        <v>0.5</v>
      </c>
      <c r="X16" s="4" t="n">
        <v>5.5</v>
      </c>
      <c r="Y16" s="4" t="s">
        <v>191</v>
      </c>
      <c r="Z16" s="4" t="s">
        <v>70</v>
      </c>
      <c r="AA16" s="4" t="s">
        <v>192</v>
      </c>
      <c r="AB16" s="4" t="s">
        <v>72</v>
      </c>
      <c r="AC16" s="4" t="s">
        <v>73</v>
      </c>
      <c r="AD16" s="4" t="s">
        <v>193</v>
      </c>
      <c r="AE16" s="3" t="s">
        <v>63</v>
      </c>
      <c r="AF16" s="3" t="s">
        <v>75</v>
      </c>
    </row>
    <row r="17" customFormat="false" ht="36" hidden="false" customHeight="true" outlineLevel="0" collapsed="false">
      <c r="A17" s="4" t="n">
        <v>16</v>
      </c>
      <c r="B17" s="4" t="s">
        <v>194</v>
      </c>
      <c r="C17" s="4" t="s">
        <v>57</v>
      </c>
      <c r="D17" s="4" t="s">
        <v>19</v>
      </c>
      <c r="E17" s="4" t="n">
        <v>5</v>
      </c>
      <c r="F17" s="4" t="s">
        <v>195</v>
      </c>
      <c r="G17" s="4" t="s">
        <v>59</v>
      </c>
      <c r="H17" s="4" t="s">
        <v>63</v>
      </c>
      <c r="I17" s="4" t="s">
        <v>63</v>
      </c>
      <c r="J17" s="4" t="s">
        <v>61</v>
      </c>
      <c r="K17" s="4" t="n">
        <v>1</v>
      </c>
      <c r="N17" s="4" t="s">
        <v>62</v>
      </c>
      <c r="O17" s="4" t="s">
        <v>63</v>
      </c>
      <c r="P17" s="4" t="s">
        <v>196</v>
      </c>
      <c r="Q17" s="4"/>
      <c r="R17" s="4" t="s">
        <v>65</v>
      </c>
      <c r="S17" s="4" t="s">
        <v>66</v>
      </c>
      <c r="T17" s="4" t="s">
        <v>67</v>
      </c>
      <c r="U17" s="4" t="s">
        <v>68</v>
      </c>
      <c r="V17" s="4" t="s">
        <v>184</v>
      </c>
      <c r="W17" s="4" t="n">
        <v>0.5</v>
      </c>
      <c r="X17" s="4" t="n">
        <v>5.5</v>
      </c>
      <c r="Y17" s="4" t="s">
        <v>197</v>
      </c>
      <c r="Z17" s="4" t="s">
        <v>70</v>
      </c>
      <c r="AA17" s="4" t="s">
        <v>198</v>
      </c>
      <c r="AB17" s="4" t="s">
        <v>72</v>
      </c>
      <c r="AC17" s="4" t="s">
        <v>73</v>
      </c>
      <c r="AD17" s="4" t="s">
        <v>199</v>
      </c>
      <c r="AE17" s="3" t="s">
        <v>63</v>
      </c>
      <c r="AF17" s="3" t="s">
        <v>75</v>
      </c>
    </row>
    <row r="18" customFormat="false" ht="36" hidden="false" customHeight="true" outlineLevel="0" collapsed="false">
      <c r="A18" s="4" t="n">
        <v>17</v>
      </c>
      <c r="B18" s="4" t="s">
        <v>200</v>
      </c>
      <c r="C18" s="4" t="s">
        <v>57</v>
      </c>
      <c r="D18" s="4" t="s">
        <v>20</v>
      </c>
      <c r="E18" s="4" t="n">
        <v>4</v>
      </c>
      <c r="F18" s="4" t="s">
        <v>88</v>
      </c>
      <c r="G18" s="4" t="s">
        <v>89</v>
      </c>
      <c r="H18" s="4" t="s">
        <v>60</v>
      </c>
      <c r="I18" s="4" t="n">
        <v>90</v>
      </c>
      <c r="J18" s="4" t="s">
        <v>188</v>
      </c>
      <c r="K18" s="4" t="n">
        <v>1.6</v>
      </c>
      <c r="L18" s="3" t="n">
        <v>0.3</v>
      </c>
      <c r="M18" s="3" t="n">
        <v>1.3</v>
      </c>
      <c r="N18" s="4" t="s">
        <v>62</v>
      </c>
      <c r="O18" s="4" t="s">
        <v>63</v>
      </c>
      <c r="P18" s="4" t="s">
        <v>201</v>
      </c>
      <c r="Q18" s="4"/>
      <c r="R18" s="4" t="s">
        <v>202</v>
      </c>
      <c r="S18" s="4" t="s">
        <v>66</v>
      </c>
      <c r="T18" s="4" t="s">
        <v>93</v>
      </c>
      <c r="U18" s="4" t="s">
        <v>94</v>
      </c>
      <c r="V18" s="4" t="n">
        <v>4</v>
      </c>
      <c r="W18" s="4" t="n">
        <v>0.45</v>
      </c>
      <c r="X18" s="4" t="n">
        <v>5.5</v>
      </c>
      <c r="Y18" s="4" t="s">
        <v>203</v>
      </c>
      <c r="Z18" s="4" t="s">
        <v>70</v>
      </c>
      <c r="AA18" s="4" t="s">
        <v>204</v>
      </c>
      <c r="AB18" s="4" t="s">
        <v>72</v>
      </c>
      <c r="AC18" s="4" t="s">
        <v>73</v>
      </c>
      <c r="AD18" s="4" t="s">
        <v>106</v>
      </c>
      <c r="AE18" s="3" t="s">
        <v>63</v>
      </c>
      <c r="AF18" s="3" t="s">
        <v>75</v>
      </c>
    </row>
    <row r="19" customFormat="false" ht="36" hidden="false" customHeight="true" outlineLevel="0" collapsed="false">
      <c r="A19" s="4" t="n">
        <v>18</v>
      </c>
      <c r="B19" s="4" t="s">
        <v>205</v>
      </c>
      <c r="C19" s="4" t="s">
        <v>57</v>
      </c>
      <c r="D19" s="4" t="s">
        <v>20</v>
      </c>
      <c r="E19" s="4" t="n">
        <v>4</v>
      </c>
      <c r="F19" s="4" t="s">
        <v>88</v>
      </c>
      <c r="G19" s="4" t="s">
        <v>59</v>
      </c>
      <c r="H19" s="4" t="s">
        <v>78</v>
      </c>
      <c r="I19" s="4" t="n">
        <v>60</v>
      </c>
      <c r="J19" s="4" t="s">
        <v>206</v>
      </c>
      <c r="K19" s="4" t="n">
        <v>1</v>
      </c>
      <c r="L19" s="3" t="n">
        <v>0.7</v>
      </c>
      <c r="M19" s="3" t="n">
        <v>0.3</v>
      </c>
      <c r="N19" s="4" t="s">
        <v>62</v>
      </c>
      <c r="O19" s="4" t="s">
        <v>63</v>
      </c>
      <c r="P19" s="4" t="s">
        <v>207</v>
      </c>
      <c r="Q19" s="4"/>
      <c r="R19" s="4" t="s">
        <v>208</v>
      </c>
      <c r="S19" s="4" t="s">
        <v>66</v>
      </c>
      <c r="T19" s="4" t="s">
        <v>209</v>
      </c>
      <c r="U19" s="4" t="s">
        <v>68</v>
      </c>
      <c r="V19" s="4" t="n">
        <v>5</v>
      </c>
      <c r="W19" s="4" t="n">
        <v>0.5</v>
      </c>
      <c r="X19" s="4" t="n">
        <v>6</v>
      </c>
      <c r="Y19" s="4" t="s">
        <v>210</v>
      </c>
      <c r="Z19" s="4" t="s">
        <v>70</v>
      </c>
      <c r="AA19" s="4" t="s">
        <v>211</v>
      </c>
      <c r="AB19" s="4" t="s">
        <v>72</v>
      </c>
      <c r="AC19" s="4" t="s">
        <v>73</v>
      </c>
      <c r="AD19" s="4" t="s">
        <v>193</v>
      </c>
      <c r="AE19" s="3" t="s">
        <v>63</v>
      </c>
      <c r="AF19" s="3" t="s">
        <v>75</v>
      </c>
    </row>
    <row r="20" customFormat="false" ht="36" hidden="false" customHeight="true" outlineLevel="0" collapsed="false">
      <c r="A20" s="4" t="n">
        <v>19</v>
      </c>
      <c r="B20" s="4" t="s">
        <v>212</v>
      </c>
      <c r="C20" s="4" t="s">
        <v>57</v>
      </c>
      <c r="D20" s="4" t="s">
        <v>20</v>
      </c>
      <c r="E20" s="4" t="n">
        <v>5</v>
      </c>
      <c r="F20" s="4" t="s">
        <v>88</v>
      </c>
      <c r="G20" s="4" t="s">
        <v>16</v>
      </c>
      <c r="H20" s="4" t="s">
        <v>151</v>
      </c>
      <c r="I20" s="4" t="n">
        <v>45</v>
      </c>
      <c r="J20" s="4" t="s">
        <v>90</v>
      </c>
      <c r="K20" s="4" t="n">
        <v>1.5</v>
      </c>
      <c r="L20" s="3" t="n">
        <v>0.5</v>
      </c>
      <c r="M20" s="3" t="n">
        <v>1</v>
      </c>
      <c r="N20" s="4" t="s">
        <v>62</v>
      </c>
      <c r="O20" s="4" t="s">
        <v>63</v>
      </c>
      <c r="P20" s="4" t="s">
        <v>213</v>
      </c>
      <c r="Q20" s="4"/>
      <c r="R20" s="4" t="s">
        <v>214</v>
      </c>
      <c r="S20" s="4" t="s">
        <v>66</v>
      </c>
      <c r="T20" s="4" t="s">
        <v>93</v>
      </c>
      <c r="U20" s="4" t="s">
        <v>94</v>
      </c>
      <c r="V20" s="4" t="n">
        <v>18</v>
      </c>
      <c r="W20" s="4" t="n">
        <v>0.75</v>
      </c>
      <c r="X20" s="4" t="n">
        <v>7.5</v>
      </c>
      <c r="Y20" s="4" t="s">
        <v>215</v>
      </c>
      <c r="Z20" s="4" t="s">
        <v>70</v>
      </c>
      <c r="AA20" s="4" t="s">
        <v>216</v>
      </c>
      <c r="AB20" s="4" t="s">
        <v>72</v>
      </c>
      <c r="AC20" s="4" t="s">
        <v>73</v>
      </c>
      <c r="AD20" s="4" t="s">
        <v>106</v>
      </c>
      <c r="AE20" s="3" t="s">
        <v>63</v>
      </c>
      <c r="AF20" s="3" t="s">
        <v>75</v>
      </c>
    </row>
    <row r="21" customFormat="false" ht="36" hidden="false" customHeight="true" outlineLevel="0" collapsed="false">
      <c r="A21" s="4" t="n">
        <v>20</v>
      </c>
      <c r="B21" s="4" t="s">
        <v>217</v>
      </c>
      <c r="C21" s="4" t="s">
        <v>57</v>
      </c>
      <c r="D21" s="4" t="s">
        <v>20</v>
      </c>
      <c r="E21" s="4" t="n">
        <v>4</v>
      </c>
      <c r="F21" s="4" t="s">
        <v>88</v>
      </c>
      <c r="G21" s="4" t="s">
        <v>89</v>
      </c>
      <c r="H21" s="4" t="s">
        <v>78</v>
      </c>
      <c r="I21" s="4" t="n">
        <v>60</v>
      </c>
      <c r="J21" s="4" t="s">
        <v>90</v>
      </c>
      <c r="K21" s="4" t="n">
        <v>1.5</v>
      </c>
      <c r="L21" s="3" t="n">
        <v>0.1</v>
      </c>
      <c r="M21" s="3" t="n">
        <v>1.4</v>
      </c>
      <c r="N21" s="4" t="s">
        <v>62</v>
      </c>
      <c r="O21" s="4" t="s">
        <v>63</v>
      </c>
      <c r="P21" s="4" t="s">
        <v>218</v>
      </c>
      <c r="Q21" s="4"/>
      <c r="R21" s="4" t="s">
        <v>219</v>
      </c>
      <c r="S21" s="4" t="s">
        <v>66</v>
      </c>
      <c r="T21" s="4" t="s">
        <v>93</v>
      </c>
      <c r="U21" s="4" t="s">
        <v>94</v>
      </c>
      <c r="V21" s="4" t="n">
        <v>5</v>
      </c>
      <c r="W21" s="4" t="n">
        <v>0.5</v>
      </c>
      <c r="X21" s="4" t="n">
        <v>5.5</v>
      </c>
      <c r="Y21" s="4" t="s">
        <v>220</v>
      </c>
      <c r="Z21" s="4" t="s">
        <v>70</v>
      </c>
      <c r="AA21" s="4" t="s">
        <v>221</v>
      </c>
      <c r="AB21" s="4" t="s">
        <v>72</v>
      </c>
      <c r="AC21" s="4" t="s">
        <v>73</v>
      </c>
      <c r="AD21" s="4" t="s">
        <v>222</v>
      </c>
      <c r="AE21" s="3" t="s">
        <v>223</v>
      </c>
      <c r="AF21" s="3" t="s">
        <v>224</v>
      </c>
    </row>
    <row r="22" customFormat="false" ht="36" hidden="false" customHeight="true" outlineLevel="0" collapsed="false">
      <c r="A22" s="4" t="n">
        <v>21</v>
      </c>
      <c r="B22" s="4" t="s">
        <v>225</v>
      </c>
      <c r="C22" s="4" t="s">
        <v>57</v>
      </c>
      <c r="D22" s="4" t="s">
        <v>20</v>
      </c>
      <c r="E22" s="4" t="n">
        <v>3</v>
      </c>
      <c r="F22" s="4" t="s">
        <v>88</v>
      </c>
      <c r="G22" s="4" t="s">
        <v>59</v>
      </c>
      <c r="H22" s="4" t="s">
        <v>78</v>
      </c>
      <c r="I22" s="4" t="n">
        <v>60</v>
      </c>
      <c r="J22" s="4" t="s">
        <v>226</v>
      </c>
      <c r="K22" s="4" t="n">
        <v>1.6</v>
      </c>
      <c r="L22" s="3" t="n">
        <v>0.4</v>
      </c>
      <c r="M22" s="3" t="n">
        <v>1.2</v>
      </c>
      <c r="N22" s="4" t="s">
        <v>62</v>
      </c>
      <c r="O22" s="4" t="s">
        <v>63</v>
      </c>
      <c r="P22" s="4" t="s">
        <v>227</v>
      </c>
      <c r="Q22" s="4"/>
      <c r="R22" s="4" t="s">
        <v>228</v>
      </c>
      <c r="S22" s="4" t="s">
        <v>66</v>
      </c>
      <c r="T22" s="4" t="s">
        <v>67</v>
      </c>
      <c r="U22" s="4" t="s">
        <v>68</v>
      </c>
      <c r="V22" s="4" t="n">
        <v>6</v>
      </c>
      <c r="W22" s="4" t="n">
        <v>0.6</v>
      </c>
      <c r="X22" s="4" t="n">
        <v>5.5</v>
      </c>
      <c r="Y22" s="4" t="s">
        <v>229</v>
      </c>
      <c r="Z22" s="4" t="s">
        <v>70</v>
      </c>
      <c r="AA22" s="4" t="s">
        <v>230</v>
      </c>
      <c r="AB22" s="4" t="s">
        <v>72</v>
      </c>
      <c r="AC22" s="4" t="s">
        <v>73</v>
      </c>
      <c r="AD22" s="4" t="s">
        <v>193</v>
      </c>
      <c r="AE22" s="3" t="s">
        <v>63</v>
      </c>
      <c r="AF22" s="3" t="s">
        <v>75</v>
      </c>
    </row>
    <row r="23" customFormat="false" ht="36" hidden="false" customHeight="true" outlineLevel="0" collapsed="false">
      <c r="A23" s="4" t="n">
        <v>22</v>
      </c>
      <c r="B23" s="4" t="s">
        <v>231</v>
      </c>
      <c r="C23" s="4" t="s">
        <v>57</v>
      </c>
      <c r="D23" s="4" t="s">
        <v>20</v>
      </c>
      <c r="E23" s="4" t="n">
        <v>4</v>
      </c>
      <c r="F23" s="4" t="s">
        <v>232</v>
      </c>
      <c r="G23" s="4" t="s">
        <v>233</v>
      </c>
      <c r="H23" s="4" t="s">
        <v>78</v>
      </c>
      <c r="I23" s="4" t="n">
        <v>60</v>
      </c>
      <c r="J23" s="4" t="s">
        <v>188</v>
      </c>
      <c r="K23" s="4" t="s">
        <v>234</v>
      </c>
      <c r="L23" s="3" t="n">
        <v>0</v>
      </c>
      <c r="M23" s="3" t="n">
        <v>0.4</v>
      </c>
      <c r="N23" s="4" t="s">
        <v>62</v>
      </c>
      <c r="O23" s="4" t="s">
        <v>63</v>
      </c>
      <c r="P23" s="4" t="s">
        <v>235</v>
      </c>
      <c r="Q23" s="4"/>
      <c r="R23" s="4" t="s">
        <v>236</v>
      </c>
      <c r="S23" s="4" t="s">
        <v>66</v>
      </c>
      <c r="T23" s="4" t="s">
        <v>93</v>
      </c>
      <c r="U23" s="4" t="s">
        <v>94</v>
      </c>
      <c r="V23" s="4" t="n">
        <v>6</v>
      </c>
      <c r="W23" s="4" t="n">
        <v>0.75</v>
      </c>
      <c r="X23" s="4" t="n">
        <v>5.5</v>
      </c>
      <c r="Y23" s="4" t="s">
        <v>237</v>
      </c>
      <c r="Z23" s="4" t="s">
        <v>70</v>
      </c>
      <c r="AA23" s="4" t="s">
        <v>238</v>
      </c>
      <c r="AB23" s="4" t="s">
        <v>72</v>
      </c>
      <c r="AC23" s="4" t="s">
        <v>73</v>
      </c>
      <c r="AD23" s="4" t="s">
        <v>239</v>
      </c>
      <c r="AE23" s="3" t="s">
        <v>63</v>
      </c>
      <c r="AF23" s="3" t="s">
        <v>75</v>
      </c>
    </row>
    <row r="24" customFormat="false" ht="36" hidden="false" customHeight="true" outlineLevel="0" collapsed="false">
      <c r="A24" s="4" t="n">
        <v>23</v>
      </c>
      <c r="B24" s="4" t="s">
        <v>240</v>
      </c>
      <c r="C24" s="4" t="s">
        <v>57</v>
      </c>
      <c r="D24" s="4" t="s">
        <v>20</v>
      </c>
      <c r="E24" s="4" t="n">
        <v>5</v>
      </c>
      <c r="F24" s="4" t="s">
        <v>88</v>
      </c>
      <c r="G24" s="4" t="s">
        <v>59</v>
      </c>
      <c r="H24" s="4" t="s">
        <v>78</v>
      </c>
      <c r="I24" s="4" t="n">
        <v>60</v>
      </c>
      <c r="J24" s="4" t="s">
        <v>241</v>
      </c>
      <c r="K24" s="4" t="n">
        <v>1.4</v>
      </c>
      <c r="L24" s="3" t="n">
        <v>0.4</v>
      </c>
      <c r="M24" s="3" t="n">
        <v>1</v>
      </c>
      <c r="N24" s="4" t="s">
        <v>62</v>
      </c>
      <c r="O24" s="4" t="s">
        <v>63</v>
      </c>
      <c r="P24" s="4" t="s">
        <v>202</v>
      </c>
      <c r="Q24" s="4"/>
      <c r="R24" s="4" t="s">
        <v>242</v>
      </c>
      <c r="S24" s="4" t="s">
        <v>66</v>
      </c>
      <c r="T24" s="4" t="s">
        <v>243</v>
      </c>
      <c r="U24" s="4" t="s">
        <v>83</v>
      </c>
      <c r="V24" s="4" t="n">
        <v>5</v>
      </c>
      <c r="W24" s="4" t="n">
        <v>0.5</v>
      </c>
      <c r="X24" s="4" t="n">
        <v>5.5</v>
      </c>
      <c r="Y24" s="4" t="s">
        <v>244</v>
      </c>
      <c r="Z24" s="4" t="s">
        <v>70</v>
      </c>
      <c r="AA24" s="4" t="s">
        <v>245</v>
      </c>
      <c r="AB24" s="4" t="s">
        <v>72</v>
      </c>
      <c r="AC24" s="4" t="s">
        <v>73</v>
      </c>
      <c r="AD24" s="4" t="s">
        <v>106</v>
      </c>
      <c r="AE24" s="3" t="s">
        <v>122</v>
      </c>
      <c r="AF24" s="3" t="s">
        <v>246</v>
      </c>
    </row>
    <row r="25" customFormat="false" ht="36" hidden="false" customHeight="true" outlineLevel="0" collapsed="false">
      <c r="A25" s="4" t="n">
        <v>24</v>
      </c>
      <c r="B25" s="4" t="s">
        <v>247</v>
      </c>
      <c r="C25" s="4" t="s">
        <v>57</v>
      </c>
      <c r="D25" s="4" t="s">
        <v>20</v>
      </c>
      <c r="E25" s="4" t="n">
        <v>4</v>
      </c>
      <c r="F25" s="4" t="s">
        <v>88</v>
      </c>
      <c r="G25" s="4" t="s">
        <v>59</v>
      </c>
      <c r="H25" s="4" t="s">
        <v>60</v>
      </c>
      <c r="I25" s="4" t="n">
        <v>90</v>
      </c>
      <c r="J25" s="4" t="s">
        <v>206</v>
      </c>
      <c r="K25" s="4" t="n">
        <v>1.1</v>
      </c>
      <c r="L25" s="3" t="n">
        <v>0.5</v>
      </c>
      <c r="M25" s="3" t="n">
        <v>0.6</v>
      </c>
      <c r="N25" s="4" t="s">
        <v>62</v>
      </c>
      <c r="O25" s="4" t="s">
        <v>63</v>
      </c>
      <c r="P25" s="4" t="s">
        <v>248</v>
      </c>
      <c r="Q25" s="4"/>
      <c r="R25" s="4" t="s">
        <v>249</v>
      </c>
      <c r="S25" s="4" t="s">
        <v>66</v>
      </c>
      <c r="T25" s="4" t="s">
        <v>67</v>
      </c>
      <c r="U25" s="4" t="s">
        <v>250</v>
      </c>
      <c r="V25" s="4" t="n">
        <v>3</v>
      </c>
      <c r="W25" s="4" t="n">
        <v>0.5</v>
      </c>
      <c r="X25" s="4" t="n">
        <v>6</v>
      </c>
      <c r="Y25" s="4" t="s">
        <v>251</v>
      </c>
      <c r="Z25" s="4" t="s">
        <v>70</v>
      </c>
      <c r="AA25" s="4" t="s">
        <v>252</v>
      </c>
      <c r="AB25" s="4" t="s">
        <v>72</v>
      </c>
      <c r="AC25" s="4" t="s">
        <v>73</v>
      </c>
      <c r="AD25" s="4" t="s">
        <v>193</v>
      </c>
      <c r="AE25" s="3" t="s">
        <v>63</v>
      </c>
      <c r="AF25" s="3" t="s">
        <v>75</v>
      </c>
    </row>
    <row r="26" customFormat="false" ht="36" hidden="false" customHeight="true" outlineLevel="0" collapsed="false">
      <c r="A26" s="4" t="n">
        <v>25</v>
      </c>
      <c r="B26" s="4" t="s">
        <v>253</v>
      </c>
      <c r="C26" s="4" t="s">
        <v>57</v>
      </c>
      <c r="D26" s="4" t="s">
        <v>20</v>
      </c>
      <c r="E26" s="4" t="n">
        <v>4</v>
      </c>
      <c r="F26" s="4" t="s">
        <v>88</v>
      </c>
      <c r="G26" s="4" t="s">
        <v>16</v>
      </c>
      <c r="H26" s="4" t="s">
        <v>99</v>
      </c>
      <c r="I26" s="4" t="n">
        <v>120</v>
      </c>
      <c r="J26" s="4" t="s">
        <v>188</v>
      </c>
      <c r="K26" s="4" t="n">
        <v>1.6</v>
      </c>
      <c r="L26" s="3" t="n">
        <v>0.6</v>
      </c>
      <c r="M26" s="3" t="n">
        <v>1</v>
      </c>
      <c r="N26" s="4" t="s">
        <v>62</v>
      </c>
      <c r="O26" s="4" t="s">
        <v>63</v>
      </c>
      <c r="P26" s="4" t="s">
        <v>254</v>
      </c>
      <c r="Q26" s="4"/>
      <c r="R26" s="4" t="s">
        <v>255</v>
      </c>
      <c r="S26" s="4" t="s">
        <v>66</v>
      </c>
      <c r="T26" s="4" t="s">
        <v>93</v>
      </c>
      <c r="U26" s="4" t="s">
        <v>94</v>
      </c>
      <c r="V26" s="4" t="n">
        <v>4</v>
      </c>
      <c r="W26" s="4" t="n">
        <v>0.6</v>
      </c>
      <c r="X26" s="4" t="n">
        <v>9.5</v>
      </c>
      <c r="Y26" s="4" t="s">
        <v>256</v>
      </c>
      <c r="Z26" s="4" t="s">
        <v>70</v>
      </c>
      <c r="AA26" s="4" t="s">
        <v>257</v>
      </c>
      <c r="AB26" s="4" t="s">
        <v>72</v>
      </c>
      <c r="AC26" s="4" t="s">
        <v>73</v>
      </c>
      <c r="AD26" s="4" t="s">
        <v>106</v>
      </c>
      <c r="AE26" s="3" t="s">
        <v>63</v>
      </c>
      <c r="AF26" s="3" t="s">
        <v>75</v>
      </c>
    </row>
    <row r="27" customFormat="false" ht="36" hidden="false" customHeight="true" outlineLevel="0" collapsed="false">
      <c r="A27" s="4" t="n">
        <v>26</v>
      </c>
      <c r="B27" s="4" t="s">
        <v>258</v>
      </c>
      <c r="C27" s="4" t="s">
        <v>57</v>
      </c>
      <c r="D27" s="4" t="s">
        <v>20</v>
      </c>
      <c r="E27" s="4" t="n">
        <v>9</v>
      </c>
      <c r="F27" s="4" t="s">
        <v>58</v>
      </c>
      <c r="G27" s="4" t="s">
        <v>59</v>
      </c>
      <c r="H27" s="4" t="s">
        <v>78</v>
      </c>
      <c r="I27" s="4" t="n">
        <v>60</v>
      </c>
      <c r="J27" s="4" t="s">
        <v>206</v>
      </c>
      <c r="K27" s="4" t="n">
        <v>1</v>
      </c>
      <c r="N27" s="4" t="s">
        <v>62</v>
      </c>
      <c r="O27" s="4" t="s">
        <v>63</v>
      </c>
      <c r="P27" s="4" t="s">
        <v>259</v>
      </c>
      <c r="Q27" s="4"/>
      <c r="R27" s="4" t="s">
        <v>260</v>
      </c>
      <c r="S27" s="4" t="s">
        <v>66</v>
      </c>
      <c r="T27" s="4" t="s">
        <v>209</v>
      </c>
      <c r="U27" s="4" t="s">
        <v>68</v>
      </c>
      <c r="V27" s="4" t="s">
        <v>261</v>
      </c>
      <c r="W27" s="4" t="n">
        <v>0.5</v>
      </c>
      <c r="X27" s="4" t="n">
        <v>6</v>
      </c>
      <c r="Y27" s="4" t="s">
        <v>262</v>
      </c>
      <c r="Z27" s="4" t="s">
        <v>70</v>
      </c>
      <c r="AA27" s="4" t="s">
        <v>263</v>
      </c>
      <c r="AB27" s="4" t="s">
        <v>72</v>
      </c>
      <c r="AC27" s="4" t="s">
        <v>73</v>
      </c>
      <c r="AD27" s="4" t="s">
        <v>264</v>
      </c>
      <c r="AE27" s="3" t="s">
        <v>63</v>
      </c>
      <c r="AF27" s="3" t="s">
        <v>75</v>
      </c>
    </row>
    <row r="28" customFormat="false" ht="36" hidden="false" customHeight="true" outlineLevel="0" collapsed="false">
      <c r="A28" s="4" t="n">
        <v>27</v>
      </c>
      <c r="B28" s="4" t="s">
        <v>265</v>
      </c>
      <c r="C28" s="4" t="s">
        <v>57</v>
      </c>
      <c r="D28" s="4" t="s">
        <v>20</v>
      </c>
      <c r="E28" s="4" t="n">
        <v>2</v>
      </c>
      <c r="F28" s="4" t="s">
        <v>88</v>
      </c>
      <c r="G28" s="4" t="s">
        <v>16</v>
      </c>
      <c r="H28" s="4" t="s">
        <v>151</v>
      </c>
      <c r="I28" s="4" t="n">
        <v>45</v>
      </c>
      <c r="J28" s="4" t="s">
        <v>266</v>
      </c>
      <c r="K28" s="4" t="n">
        <v>2.5</v>
      </c>
      <c r="L28" s="3" t="n">
        <v>1</v>
      </c>
      <c r="M28" s="3" t="n">
        <v>1.5</v>
      </c>
      <c r="N28" s="4" t="s">
        <v>62</v>
      </c>
      <c r="O28" s="4" t="s">
        <v>63</v>
      </c>
      <c r="P28" s="4" t="s">
        <v>267</v>
      </c>
      <c r="Q28" s="4"/>
      <c r="R28" s="4" t="s">
        <v>268</v>
      </c>
      <c r="S28" s="4" t="s">
        <v>66</v>
      </c>
      <c r="T28" s="4" t="s">
        <v>93</v>
      </c>
      <c r="U28" s="4" t="s">
        <v>94</v>
      </c>
      <c r="V28" s="4" t="n">
        <v>6</v>
      </c>
      <c r="W28" s="4" t="n">
        <v>0.7</v>
      </c>
      <c r="X28" s="4" t="n">
        <v>7</v>
      </c>
      <c r="Y28" s="4" t="s">
        <v>269</v>
      </c>
      <c r="Z28" s="4" t="s">
        <v>70</v>
      </c>
      <c r="AA28" s="4" t="s">
        <v>270</v>
      </c>
      <c r="AB28" s="4" t="s">
        <v>72</v>
      </c>
      <c r="AC28" s="4" t="s">
        <v>73</v>
      </c>
      <c r="AD28" s="4" t="s">
        <v>271</v>
      </c>
      <c r="AE28" s="3" t="s">
        <v>175</v>
      </c>
      <c r="AF28" s="3" t="s">
        <v>272</v>
      </c>
    </row>
    <row r="29" customFormat="false" ht="36" hidden="false" customHeight="true" outlineLevel="0" collapsed="false">
      <c r="A29" s="4" t="n">
        <v>28</v>
      </c>
      <c r="B29" s="4" t="s">
        <v>273</v>
      </c>
      <c r="C29" s="4" t="s">
        <v>57</v>
      </c>
      <c r="D29" s="4" t="s">
        <v>20</v>
      </c>
      <c r="E29" s="4" t="n">
        <v>3</v>
      </c>
      <c r="F29" s="4" t="s">
        <v>88</v>
      </c>
      <c r="G29" s="4" t="s">
        <v>59</v>
      </c>
      <c r="H29" s="4" t="s">
        <v>99</v>
      </c>
      <c r="I29" s="4" t="n">
        <v>120</v>
      </c>
      <c r="J29" s="4" t="s">
        <v>274</v>
      </c>
      <c r="K29" s="4" t="n">
        <v>0.8</v>
      </c>
      <c r="L29" s="3" t="n">
        <v>0.45</v>
      </c>
      <c r="M29" s="3" t="n">
        <v>0.35</v>
      </c>
      <c r="N29" s="4" t="s">
        <v>62</v>
      </c>
      <c r="O29" s="4" t="s">
        <v>63</v>
      </c>
      <c r="P29" s="4" t="s">
        <v>275</v>
      </c>
      <c r="Q29" s="4"/>
      <c r="R29" s="4" t="s">
        <v>276</v>
      </c>
      <c r="S29" s="4" t="s">
        <v>66</v>
      </c>
      <c r="T29" s="4" t="s">
        <v>277</v>
      </c>
      <c r="U29" s="4" t="s">
        <v>250</v>
      </c>
      <c r="V29" s="4" t="n">
        <v>3</v>
      </c>
      <c r="W29" s="4" t="n">
        <v>0.5</v>
      </c>
      <c r="X29" s="4" t="n">
        <v>7.5</v>
      </c>
      <c r="Y29" s="4" t="s">
        <v>278</v>
      </c>
      <c r="Z29" s="4" t="s">
        <v>70</v>
      </c>
      <c r="AA29" s="4" t="s">
        <v>279</v>
      </c>
      <c r="AB29" s="4" t="s">
        <v>72</v>
      </c>
      <c r="AC29" s="4" t="s">
        <v>73</v>
      </c>
      <c r="AD29" s="4" t="s">
        <v>106</v>
      </c>
      <c r="AE29" s="3" t="s">
        <v>63</v>
      </c>
      <c r="AF29" s="3" t="s">
        <v>75</v>
      </c>
    </row>
    <row r="30" customFormat="false" ht="36" hidden="false" customHeight="true" outlineLevel="0" collapsed="false">
      <c r="A30" s="4" t="n">
        <v>29</v>
      </c>
      <c r="B30" s="4" t="s">
        <v>280</v>
      </c>
      <c r="C30" s="4" t="s">
        <v>57</v>
      </c>
      <c r="D30" s="4" t="s">
        <v>20</v>
      </c>
      <c r="E30" s="4" t="n">
        <v>4</v>
      </c>
      <c r="F30" s="4" t="s">
        <v>58</v>
      </c>
      <c r="G30" s="4" t="s">
        <v>59</v>
      </c>
      <c r="H30" s="4" t="s">
        <v>78</v>
      </c>
      <c r="I30" s="4" t="n">
        <v>60</v>
      </c>
      <c r="J30" s="4" t="s">
        <v>115</v>
      </c>
      <c r="K30" s="4" t="n">
        <v>2.1</v>
      </c>
      <c r="N30" s="4" t="s">
        <v>62</v>
      </c>
      <c r="O30" s="4" t="s">
        <v>63</v>
      </c>
      <c r="P30" s="4" t="s">
        <v>281</v>
      </c>
      <c r="Q30" s="4"/>
      <c r="R30" s="4" t="s">
        <v>282</v>
      </c>
      <c r="S30" s="4" t="s">
        <v>66</v>
      </c>
      <c r="T30" s="4" t="s">
        <v>93</v>
      </c>
      <c r="U30" s="4" t="s">
        <v>94</v>
      </c>
      <c r="V30" s="4" t="n">
        <v>4</v>
      </c>
      <c r="W30" s="4" t="n">
        <v>0.6</v>
      </c>
      <c r="X30" s="4" t="n">
        <v>5</v>
      </c>
      <c r="Y30" s="4" t="s">
        <v>283</v>
      </c>
      <c r="Z30" s="4" t="s">
        <v>70</v>
      </c>
      <c r="AA30" s="4" t="s">
        <v>284</v>
      </c>
      <c r="AB30" s="4" t="s">
        <v>72</v>
      </c>
      <c r="AC30" s="4" t="s">
        <v>73</v>
      </c>
      <c r="AD30" s="4" t="s">
        <v>193</v>
      </c>
      <c r="AE30" s="3" t="s">
        <v>63</v>
      </c>
      <c r="AF30" s="3" t="s">
        <v>75</v>
      </c>
    </row>
    <row r="31" customFormat="false" ht="36" hidden="false" customHeight="true" outlineLevel="0" collapsed="false">
      <c r="A31" s="4" t="n">
        <v>30</v>
      </c>
      <c r="B31" s="4" t="s">
        <v>285</v>
      </c>
      <c r="C31" s="4" t="s">
        <v>57</v>
      </c>
      <c r="D31" s="4" t="s">
        <v>21</v>
      </c>
      <c r="E31" s="4" t="n">
        <v>3</v>
      </c>
      <c r="F31" s="4" t="s">
        <v>58</v>
      </c>
      <c r="G31" s="4" t="s">
        <v>89</v>
      </c>
      <c r="H31" s="4" t="s">
        <v>60</v>
      </c>
      <c r="I31" s="4" t="n">
        <v>90</v>
      </c>
      <c r="J31" s="4" t="s">
        <v>226</v>
      </c>
      <c r="K31" s="4" t="n">
        <v>1</v>
      </c>
      <c r="L31" s="3" t="n">
        <v>0.4</v>
      </c>
      <c r="M31" s="3" t="n">
        <v>0.6</v>
      </c>
      <c r="N31" s="4" t="s">
        <v>62</v>
      </c>
      <c r="O31" s="4" t="s">
        <v>63</v>
      </c>
      <c r="P31" s="4" t="s">
        <v>286</v>
      </c>
      <c r="Q31" s="4" t="s">
        <v>287</v>
      </c>
      <c r="R31" s="4" t="s">
        <v>288</v>
      </c>
      <c r="S31" s="4" t="s">
        <v>66</v>
      </c>
      <c r="T31" s="4" t="s">
        <v>93</v>
      </c>
      <c r="U31" s="4" t="s">
        <v>94</v>
      </c>
      <c r="V31" s="4" t="n">
        <v>1</v>
      </c>
      <c r="W31" s="4" t="n">
        <v>0.5</v>
      </c>
      <c r="X31" s="4" t="n">
        <v>5.5</v>
      </c>
      <c r="Y31" s="4" t="s">
        <v>289</v>
      </c>
      <c r="Z31" s="4" t="s">
        <v>70</v>
      </c>
      <c r="AA31" s="4" t="s">
        <v>290</v>
      </c>
      <c r="AB31" s="4" t="s">
        <v>72</v>
      </c>
      <c r="AC31" s="4" t="s">
        <v>73</v>
      </c>
      <c r="AD31" s="4" t="s">
        <v>106</v>
      </c>
      <c r="AE31" s="3" t="s">
        <v>63</v>
      </c>
      <c r="AF31" s="3" t="s">
        <v>75</v>
      </c>
    </row>
    <row r="32" customFormat="false" ht="36" hidden="false" customHeight="true" outlineLevel="0" collapsed="false">
      <c r="A32" s="4" t="n">
        <v>31</v>
      </c>
      <c r="B32" s="4" t="s">
        <v>291</v>
      </c>
      <c r="C32" s="4" t="s">
        <v>57</v>
      </c>
      <c r="D32" s="4" t="s">
        <v>21</v>
      </c>
      <c r="E32" s="4" t="n">
        <v>4</v>
      </c>
      <c r="F32" s="4" t="s">
        <v>88</v>
      </c>
      <c r="G32" s="4" t="s">
        <v>59</v>
      </c>
      <c r="H32" s="4" t="s">
        <v>60</v>
      </c>
      <c r="I32" s="4" t="n">
        <v>90</v>
      </c>
      <c r="J32" s="4" t="s">
        <v>292</v>
      </c>
      <c r="K32" s="4" t="n">
        <v>1.5</v>
      </c>
      <c r="L32" s="3" t="n">
        <v>0.3</v>
      </c>
      <c r="M32" s="3" t="n">
        <v>1.2</v>
      </c>
      <c r="N32" s="4" t="s">
        <v>62</v>
      </c>
      <c r="O32" s="4" t="s">
        <v>63</v>
      </c>
      <c r="P32" s="4" t="s">
        <v>293</v>
      </c>
      <c r="Q32" s="4"/>
      <c r="R32" s="4" t="s">
        <v>294</v>
      </c>
      <c r="S32" s="4" t="s">
        <v>66</v>
      </c>
      <c r="T32" s="4" t="s">
        <v>295</v>
      </c>
      <c r="U32" s="4" t="s">
        <v>68</v>
      </c>
      <c r="V32" s="4" t="n">
        <v>5</v>
      </c>
      <c r="W32" s="4" t="n">
        <v>0.5</v>
      </c>
      <c r="X32" s="4" t="n">
        <v>5.5</v>
      </c>
      <c r="Y32" s="4" t="s">
        <v>296</v>
      </c>
      <c r="Z32" s="4" t="s">
        <v>70</v>
      </c>
      <c r="AA32" s="4" t="s">
        <v>297</v>
      </c>
      <c r="AB32" s="4" t="s">
        <v>72</v>
      </c>
      <c r="AC32" s="4" t="s">
        <v>73</v>
      </c>
      <c r="AD32" s="4" t="s">
        <v>298</v>
      </c>
      <c r="AE32" s="3" t="s">
        <v>90</v>
      </c>
      <c r="AF32" s="3" t="s">
        <v>246</v>
      </c>
    </row>
    <row r="33" customFormat="false" ht="36" hidden="false" customHeight="true" outlineLevel="0" collapsed="false">
      <c r="A33" s="4" t="n">
        <v>32</v>
      </c>
      <c r="B33" s="4" t="s">
        <v>299</v>
      </c>
      <c r="C33" s="4" t="s">
        <v>57</v>
      </c>
      <c r="D33" s="4" t="s">
        <v>21</v>
      </c>
      <c r="E33" s="4" t="n">
        <v>3</v>
      </c>
      <c r="F33" s="4" t="s">
        <v>300</v>
      </c>
      <c r="G33" s="4" t="s">
        <v>89</v>
      </c>
      <c r="H33" s="4" t="s">
        <v>63</v>
      </c>
      <c r="I33" s="4" t="s">
        <v>63</v>
      </c>
      <c r="J33" s="4" t="s">
        <v>109</v>
      </c>
      <c r="K33" s="4" t="n">
        <v>1</v>
      </c>
      <c r="N33" s="4" t="s">
        <v>62</v>
      </c>
      <c r="O33" s="4" t="s">
        <v>63</v>
      </c>
      <c r="P33" s="4" t="s">
        <v>126</v>
      </c>
      <c r="Q33" s="4"/>
      <c r="R33" s="4" t="s">
        <v>126</v>
      </c>
      <c r="S33" s="4" t="s">
        <v>66</v>
      </c>
      <c r="T33" s="4" t="s">
        <v>93</v>
      </c>
      <c r="U33" s="4" t="s">
        <v>94</v>
      </c>
      <c r="V33" s="4" t="s">
        <v>301</v>
      </c>
      <c r="W33" s="4" t="n">
        <v>0.5</v>
      </c>
      <c r="X33" s="4" t="n">
        <v>5.5</v>
      </c>
      <c r="Y33" s="4" t="s">
        <v>302</v>
      </c>
      <c r="Z33" s="4" t="s">
        <v>70</v>
      </c>
      <c r="AA33" s="4" t="s">
        <v>303</v>
      </c>
      <c r="AB33" s="4" t="s">
        <v>72</v>
      </c>
      <c r="AC33" s="4" t="s">
        <v>73</v>
      </c>
      <c r="AD33" s="4" t="s">
        <v>304</v>
      </c>
      <c r="AE33" s="3" t="s">
        <v>63</v>
      </c>
      <c r="AF33" s="3" t="s">
        <v>75</v>
      </c>
    </row>
    <row r="34" customFormat="false" ht="36" hidden="false" customHeight="true" outlineLevel="0" collapsed="false">
      <c r="A34" s="4" t="n">
        <v>33</v>
      </c>
      <c r="B34" s="4" t="s">
        <v>305</v>
      </c>
      <c r="C34" s="4" t="s">
        <v>57</v>
      </c>
      <c r="D34" s="4" t="s">
        <v>21</v>
      </c>
      <c r="E34" s="4" t="n">
        <v>5</v>
      </c>
      <c r="F34" s="4" t="s">
        <v>306</v>
      </c>
      <c r="G34" s="4" t="s">
        <v>59</v>
      </c>
      <c r="H34" s="4" t="s">
        <v>78</v>
      </c>
      <c r="I34" s="4" t="n">
        <v>60</v>
      </c>
      <c r="J34" s="4" t="s">
        <v>241</v>
      </c>
      <c r="K34" s="4" t="n">
        <v>1.1</v>
      </c>
      <c r="L34" s="3" t="n">
        <v>0.7</v>
      </c>
      <c r="M34" s="3" t="n">
        <v>0.4</v>
      </c>
      <c r="N34" s="4" t="s">
        <v>62</v>
      </c>
      <c r="O34" s="4" t="s">
        <v>63</v>
      </c>
      <c r="P34" s="4" t="s">
        <v>307</v>
      </c>
      <c r="Q34" s="4"/>
      <c r="R34" s="4" t="s">
        <v>308</v>
      </c>
      <c r="S34" s="4" t="s">
        <v>66</v>
      </c>
      <c r="T34" s="4" t="s">
        <v>67</v>
      </c>
      <c r="U34" s="4" t="s">
        <v>83</v>
      </c>
      <c r="V34" s="4" t="n">
        <v>8</v>
      </c>
      <c r="W34" s="4" t="n">
        <v>0.5</v>
      </c>
      <c r="X34" s="4" t="n">
        <v>5.5</v>
      </c>
      <c r="Y34" s="4" t="s">
        <v>309</v>
      </c>
      <c r="Z34" s="4" t="s">
        <v>70</v>
      </c>
      <c r="AA34" s="4" t="s">
        <v>310</v>
      </c>
      <c r="AB34" s="4" t="s">
        <v>72</v>
      </c>
      <c r="AC34" s="4" t="s">
        <v>73</v>
      </c>
      <c r="AD34" s="4" t="s">
        <v>311</v>
      </c>
      <c r="AE34" s="3" t="s">
        <v>62</v>
      </c>
      <c r="AF34" s="3" t="s">
        <v>312</v>
      </c>
    </row>
    <row r="35" customFormat="false" ht="36" hidden="false" customHeight="true" outlineLevel="0" collapsed="false">
      <c r="A35" s="4" t="n">
        <v>34</v>
      </c>
      <c r="B35" s="4" t="s">
        <v>313</v>
      </c>
      <c r="C35" s="4" t="s">
        <v>57</v>
      </c>
      <c r="D35" s="4" t="s">
        <v>21</v>
      </c>
      <c r="E35" s="4" t="n">
        <v>7</v>
      </c>
      <c r="F35" s="4" t="s">
        <v>88</v>
      </c>
      <c r="G35" s="4" t="s">
        <v>89</v>
      </c>
      <c r="H35" s="4" t="s">
        <v>151</v>
      </c>
      <c r="I35" s="4" t="n">
        <v>45</v>
      </c>
      <c r="J35" s="4" t="s">
        <v>90</v>
      </c>
      <c r="K35" s="4" t="n">
        <v>1.8</v>
      </c>
      <c r="L35" s="3" t="n">
        <v>0.5</v>
      </c>
      <c r="M35" s="3" t="n">
        <v>1.3</v>
      </c>
      <c r="N35" s="4" t="s">
        <v>62</v>
      </c>
      <c r="O35" s="4" t="s">
        <v>63</v>
      </c>
      <c r="P35" s="4" t="s">
        <v>314</v>
      </c>
      <c r="Q35" s="4"/>
      <c r="R35" s="4" t="s">
        <v>315</v>
      </c>
      <c r="S35" s="4" t="s">
        <v>66</v>
      </c>
      <c r="T35" s="4" t="s">
        <v>93</v>
      </c>
      <c r="U35" s="4" t="s">
        <v>94</v>
      </c>
      <c r="V35" s="4" t="n">
        <v>18</v>
      </c>
      <c r="W35" s="4" t="n">
        <v>0.75</v>
      </c>
      <c r="X35" s="4" t="n">
        <v>5</v>
      </c>
      <c r="Y35" s="4" t="s">
        <v>316</v>
      </c>
      <c r="Z35" s="4" t="s">
        <v>70</v>
      </c>
      <c r="AA35" s="4" t="s">
        <v>317</v>
      </c>
      <c r="AB35" s="4" t="s">
        <v>72</v>
      </c>
      <c r="AC35" s="4" t="s">
        <v>73</v>
      </c>
      <c r="AD35" s="4" t="s">
        <v>106</v>
      </c>
      <c r="AE35" s="3" t="s">
        <v>63</v>
      </c>
      <c r="AF35" s="3" t="s">
        <v>75</v>
      </c>
    </row>
    <row r="36" customFormat="false" ht="36" hidden="false" customHeight="true" outlineLevel="0" collapsed="false">
      <c r="A36" s="4" t="n">
        <v>35</v>
      </c>
      <c r="B36" s="4" t="s">
        <v>318</v>
      </c>
      <c r="C36" s="4" t="s">
        <v>57</v>
      </c>
      <c r="D36" s="4" t="s">
        <v>21</v>
      </c>
      <c r="E36" s="4" t="n">
        <v>4</v>
      </c>
      <c r="F36" s="4" t="s">
        <v>88</v>
      </c>
      <c r="G36" s="4" t="s">
        <v>89</v>
      </c>
      <c r="H36" s="4" t="s">
        <v>78</v>
      </c>
      <c r="I36" s="4" t="n">
        <v>60</v>
      </c>
      <c r="J36" s="4" t="s">
        <v>90</v>
      </c>
      <c r="K36" s="4" t="n">
        <v>1.3</v>
      </c>
      <c r="L36" s="3" t="n">
        <v>0</v>
      </c>
      <c r="M36" s="3" t="n">
        <v>1.3</v>
      </c>
      <c r="N36" s="4" t="s">
        <v>62</v>
      </c>
      <c r="O36" s="4" t="s">
        <v>63</v>
      </c>
      <c r="P36" s="4" t="s">
        <v>319</v>
      </c>
      <c r="Q36" s="4" t="s">
        <v>320</v>
      </c>
      <c r="R36" s="4" t="s">
        <v>321</v>
      </c>
      <c r="S36" s="4" t="s">
        <v>66</v>
      </c>
      <c r="T36" s="4" t="s">
        <v>93</v>
      </c>
      <c r="U36" s="4" t="s">
        <v>94</v>
      </c>
      <c r="V36" s="4" t="n">
        <v>6</v>
      </c>
      <c r="W36" s="4" t="n">
        <v>0.75</v>
      </c>
      <c r="X36" s="4" t="n">
        <v>5.5</v>
      </c>
      <c r="Y36" s="4" t="s">
        <v>322</v>
      </c>
      <c r="Z36" s="4" t="s">
        <v>70</v>
      </c>
      <c r="AA36" s="4" t="s">
        <v>323</v>
      </c>
      <c r="AB36" s="4" t="s">
        <v>72</v>
      </c>
      <c r="AC36" s="4" t="s">
        <v>73</v>
      </c>
      <c r="AD36" s="4" t="s">
        <v>324</v>
      </c>
      <c r="AE36" s="3" t="s">
        <v>325</v>
      </c>
      <c r="AF36" s="3" t="s">
        <v>326</v>
      </c>
    </row>
    <row r="37" customFormat="false" ht="36" hidden="false" customHeight="true" outlineLevel="0" collapsed="false">
      <c r="A37" s="4" t="n">
        <v>36</v>
      </c>
      <c r="B37" s="4" t="s">
        <v>327</v>
      </c>
      <c r="C37" s="4" t="s">
        <v>57</v>
      </c>
      <c r="D37" s="4" t="s">
        <v>21</v>
      </c>
      <c r="E37" s="4" t="n">
        <v>5</v>
      </c>
      <c r="F37" s="4" t="s">
        <v>88</v>
      </c>
      <c r="G37" s="4" t="s">
        <v>89</v>
      </c>
      <c r="H37" s="4" t="s">
        <v>78</v>
      </c>
      <c r="I37" s="4" t="n">
        <v>60</v>
      </c>
      <c r="J37" s="4" t="s">
        <v>226</v>
      </c>
      <c r="K37" s="4" t="n">
        <v>1.4</v>
      </c>
      <c r="L37" s="3" t="n">
        <v>0</v>
      </c>
      <c r="M37" s="3" t="n">
        <v>1.4</v>
      </c>
      <c r="N37" s="4" t="s">
        <v>62</v>
      </c>
      <c r="O37" s="4" t="s">
        <v>63</v>
      </c>
      <c r="P37" s="4" t="s">
        <v>328</v>
      </c>
      <c r="Q37" s="4"/>
      <c r="R37" s="4" t="s">
        <v>329</v>
      </c>
      <c r="S37" s="4" t="s">
        <v>66</v>
      </c>
      <c r="T37" s="4" t="s">
        <v>93</v>
      </c>
      <c r="U37" s="4" t="s">
        <v>94</v>
      </c>
      <c r="V37" s="4" t="n">
        <v>6</v>
      </c>
      <c r="W37" s="4" t="n">
        <v>0.65</v>
      </c>
      <c r="X37" s="4" t="n">
        <v>5.5</v>
      </c>
      <c r="Y37" s="4" t="s">
        <v>330</v>
      </c>
      <c r="Z37" s="4" t="s">
        <v>70</v>
      </c>
      <c r="AA37" s="4" t="s">
        <v>331</v>
      </c>
      <c r="AB37" s="4" t="s">
        <v>72</v>
      </c>
      <c r="AC37" s="4" t="s">
        <v>73</v>
      </c>
      <c r="AD37" s="4" t="s">
        <v>332</v>
      </c>
      <c r="AE37" s="3" t="s">
        <v>63</v>
      </c>
      <c r="AF37" s="3" t="s">
        <v>75</v>
      </c>
    </row>
    <row r="38" customFormat="false" ht="36" hidden="false" customHeight="true" outlineLevel="0" collapsed="false">
      <c r="A38" s="4" t="n">
        <v>37</v>
      </c>
      <c r="B38" s="4" t="s">
        <v>333</v>
      </c>
      <c r="C38" s="4" t="s">
        <v>57</v>
      </c>
      <c r="D38" s="4" t="s">
        <v>21</v>
      </c>
      <c r="E38" s="4" t="n">
        <v>5</v>
      </c>
      <c r="F38" s="4" t="s">
        <v>88</v>
      </c>
      <c r="G38" s="4" t="s">
        <v>16</v>
      </c>
      <c r="H38" s="4" t="s">
        <v>78</v>
      </c>
      <c r="I38" s="4" t="n">
        <v>60</v>
      </c>
      <c r="J38" s="4" t="s">
        <v>334</v>
      </c>
      <c r="K38" s="4" t="n">
        <v>2</v>
      </c>
      <c r="L38" s="3" t="n">
        <v>0</v>
      </c>
      <c r="M38" s="3" t="n">
        <v>2.8</v>
      </c>
      <c r="N38" s="4" t="s">
        <v>62</v>
      </c>
      <c r="O38" s="4" t="s">
        <v>63</v>
      </c>
      <c r="P38" s="4" t="s">
        <v>335</v>
      </c>
      <c r="Q38" s="4"/>
      <c r="R38" s="4" t="s">
        <v>336</v>
      </c>
      <c r="S38" s="4" t="s">
        <v>66</v>
      </c>
      <c r="T38" s="4" t="s">
        <v>93</v>
      </c>
      <c r="U38" s="4" t="s">
        <v>94</v>
      </c>
      <c r="V38" s="4" t="n">
        <v>6</v>
      </c>
      <c r="W38" s="4" t="n">
        <v>0.3</v>
      </c>
      <c r="X38" s="4" t="n">
        <v>7.7</v>
      </c>
      <c r="Y38" s="4" t="s">
        <v>337</v>
      </c>
      <c r="Z38" s="4" t="s">
        <v>70</v>
      </c>
      <c r="AA38" s="4" t="s">
        <v>338</v>
      </c>
      <c r="AB38" s="4" t="s">
        <v>72</v>
      </c>
      <c r="AC38" s="4" t="s">
        <v>73</v>
      </c>
      <c r="AD38" s="4" t="s">
        <v>339</v>
      </c>
      <c r="AE38" s="3" t="s">
        <v>340</v>
      </c>
      <c r="AF38" s="3" t="s">
        <v>341</v>
      </c>
    </row>
    <row r="39" customFormat="false" ht="36" hidden="false" customHeight="true" outlineLevel="0" collapsed="false">
      <c r="A39" s="4" t="n">
        <v>38</v>
      </c>
      <c r="B39" s="4" t="s">
        <v>342</v>
      </c>
      <c r="C39" s="4" t="s">
        <v>57</v>
      </c>
      <c r="D39" s="4" t="s">
        <v>21</v>
      </c>
      <c r="E39" s="4" t="n">
        <v>6</v>
      </c>
      <c r="F39" s="4" t="s">
        <v>88</v>
      </c>
      <c r="G39" s="4" t="s">
        <v>89</v>
      </c>
      <c r="H39" s="4" t="s">
        <v>78</v>
      </c>
      <c r="I39" s="4" t="n">
        <v>60</v>
      </c>
      <c r="J39" s="4" t="s">
        <v>188</v>
      </c>
      <c r="K39" s="4" t="n">
        <v>1.4</v>
      </c>
      <c r="L39" s="3" t="n">
        <v>0.2</v>
      </c>
      <c r="M39" s="3" t="n">
        <v>1.2</v>
      </c>
      <c r="N39" s="4" t="s">
        <v>62</v>
      </c>
      <c r="O39" s="4" t="s">
        <v>63</v>
      </c>
      <c r="P39" s="4" t="s">
        <v>343</v>
      </c>
      <c r="Q39" s="4"/>
      <c r="R39" s="4" t="s">
        <v>344</v>
      </c>
      <c r="S39" s="4" t="s">
        <v>66</v>
      </c>
      <c r="T39" s="4" t="s">
        <v>93</v>
      </c>
      <c r="U39" s="4" t="s">
        <v>94</v>
      </c>
      <c r="V39" s="4" t="n">
        <v>18</v>
      </c>
      <c r="W39" s="4" t="n">
        <v>1</v>
      </c>
      <c r="X39" s="4" t="n">
        <v>5</v>
      </c>
      <c r="Y39" s="4" t="s">
        <v>345</v>
      </c>
      <c r="Z39" s="4" t="s">
        <v>70</v>
      </c>
      <c r="AA39" s="4" t="s">
        <v>346</v>
      </c>
      <c r="AB39" s="4" t="s">
        <v>72</v>
      </c>
      <c r="AC39" s="4" t="s">
        <v>73</v>
      </c>
      <c r="AD39" s="4" t="s">
        <v>106</v>
      </c>
      <c r="AE39" s="3" t="s">
        <v>340</v>
      </c>
      <c r="AF39" s="3" t="s">
        <v>347</v>
      </c>
    </row>
    <row r="40" customFormat="false" ht="36" hidden="false" customHeight="true" outlineLevel="0" collapsed="false">
      <c r="A40" s="4" t="n">
        <v>39</v>
      </c>
      <c r="B40" s="4" t="s">
        <v>348</v>
      </c>
      <c r="C40" s="4" t="s">
        <v>57</v>
      </c>
      <c r="D40" s="4" t="s">
        <v>21</v>
      </c>
      <c r="E40" s="4" t="n">
        <v>4</v>
      </c>
      <c r="F40" s="4" t="s">
        <v>88</v>
      </c>
      <c r="G40" s="4" t="s">
        <v>59</v>
      </c>
      <c r="H40" s="4" t="s">
        <v>78</v>
      </c>
      <c r="I40" s="4" t="n">
        <v>60</v>
      </c>
      <c r="J40" s="4" t="s">
        <v>349</v>
      </c>
      <c r="K40" s="4" t="n">
        <v>2.2</v>
      </c>
      <c r="L40" s="3" t="n">
        <v>1.1</v>
      </c>
      <c r="M40" s="3" t="n">
        <v>1.1</v>
      </c>
      <c r="N40" s="4" t="s">
        <v>62</v>
      </c>
      <c r="O40" s="4" t="s">
        <v>63</v>
      </c>
      <c r="P40" s="4" t="s">
        <v>350</v>
      </c>
      <c r="Q40" s="4"/>
      <c r="R40" s="4" t="s">
        <v>351</v>
      </c>
      <c r="S40" s="4" t="s">
        <v>66</v>
      </c>
      <c r="T40" s="4" t="s">
        <v>67</v>
      </c>
      <c r="U40" s="4" t="s">
        <v>352</v>
      </c>
      <c r="V40" s="4" t="n">
        <v>5</v>
      </c>
      <c r="W40" s="4" t="n">
        <v>0.6</v>
      </c>
      <c r="X40" s="4" t="n">
        <v>5.5</v>
      </c>
      <c r="Y40" s="4" t="s">
        <v>353</v>
      </c>
      <c r="Z40" s="4" t="s">
        <v>70</v>
      </c>
      <c r="AA40" s="4" t="s">
        <v>354</v>
      </c>
      <c r="AB40" s="4" t="s">
        <v>72</v>
      </c>
      <c r="AC40" s="4" t="s">
        <v>73</v>
      </c>
      <c r="AD40" s="4" t="s">
        <v>355</v>
      </c>
      <c r="AE40" s="3" t="s">
        <v>356</v>
      </c>
      <c r="AF40" s="3" t="s">
        <v>357</v>
      </c>
    </row>
    <row r="41" customFormat="false" ht="36" hidden="false" customHeight="true" outlineLevel="0" collapsed="false">
      <c r="A41" s="4" t="n">
        <v>40</v>
      </c>
      <c r="B41" s="4" t="s">
        <v>358</v>
      </c>
      <c r="C41" s="4" t="s">
        <v>57</v>
      </c>
      <c r="D41" s="4" t="s">
        <v>21</v>
      </c>
      <c r="E41" s="4" t="n">
        <v>8</v>
      </c>
      <c r="F41" s="4" t="s">
        <v>359</v>
      </c>
      <c r="G41" s="4" t="s">
        <v>16</v>
      </c>
      <c r="H41" s="4" t="s">
        <v>151</v>
      </c>
      <c r="I41" s="4" t="n">
        <v>45</v>
      </c>
      <c r="J41" s="4" t="s">
        <v>266</v>
      </c>
      <c r="K41" s="4" t="n">
        <v>2.5</v>
      </c>
      <c r="N41" s="4" t="s">
        <v>360</v>
      </c>
      <c r="O41" s="4" t="s">
        <v>63</v>
      </c>
      <c r="P41" s="4" t="s">
        <v>361</v>
      </c>
      <c r="Q41" s="4"/>
      <c r="R41" s="4" t="s">
        <v>362</v>
      </c>
      <c r="S41" s="4" t="s">
        <v>66</v>
      </c>
      <c r="T41" s="4" t="s">
        <v>93</v>
      </c>
      <c r="U41" s="4" t="s">
        <v>94</v>
      </c>
      <c r="V41" s="4" t="n">
        <v>20</v>
      </c>
      <c r="W41" s="4" t="n">
        <v>0.75</v>
      </c>
      <c r="X41" s="4" t="n">
        <v>7</v>
      </c>
      <c r="Y41" s="4" t="s">
        <v>363</v>
      </c>
      <c r="Z41" s="4" t="s">
        <v>70</v>
      </c>
      <c r="AA41" s="4" t="s">
        <v>364</v>
      </c>
      <c r="AB41" s="4" t="s">
        <v>72</v>
      </c>
      <c r="AC41" s="4" t="s">
        <v>73</v>
      </c>
      <c r="AD41" s="4" t="s">
        <v>365</v>
      </c>
      <c r="AE41" s="3" t="s">
        <v>366</v>
      </c>
      <c r="AF41" s="3" t="s">
        <v>367</v>
      </c>
    </row>
    <row r="42" customFormat="false" ht="36" hidden="false" customHeight="true" outlineLevel="0" collapsed="false">
      <c r="A42" s="4" t="n">
        <v>41</v>
      </c>
      <c r="B42" s="4" t="s">
        <v>368</v>
      </c>
      <c r="C42" s="4" t="s">
        <v>57</v>
      </c>
      <c r="D42" s="4" t="s">
        <v>21</v>
      </c>
      <c r="E42" s="4" t="n">
        <v>5</v>
      </c>
      <c r="F42" s="4" t="s">
        <v>88</v>
      </c>
      <c r="G42" s="4" t="s">
        <v>89</v>
      </c>
      <c r="H42" s="4" t="s">
        <v>151</v>
      </c>
      <c r="I42" s="4" t="n">
        <v>45</v>
      </c>
      <c r="J42" s="4" t="s">
        <v>349</v>
      </c>
      <c r="K42" s="4" t="n">
        <v>2.5</v>
      </c>
      <c r="L42" s="3" t="n">
        <v>0.5</v>
      </c>
      <c r="M42" s="3" t="n">
        <v>2</v>
      </c>
      <c r="N42" s="4" t="s">
        <v>62</v>
      </c>
      <c r="O42" s="4" t="s">
        <v>63</v>
      </c>
      <c r="P42" s="4" t="s">
        <v>369</v>
      </c>
      <c r="Q42" s="4"/>
      <c r="R42" s="4" t="s">
        <v>370</v>
      </c>
      <c r="S42" s="4" t="s">
        <v>66</v>
      </c>
      <c r="T42" s="4" t="s">
        <v>371</v>
      </c>
      <c r="U42" s="4" t="s">
        <v>372</v>
      </c>
      <c r="V42" s="4" t="n">
        <v>18</v>
      </c>
      <c r="W42" s="4" t="n">
        <v>0.75</v>
      </c>
      <c r="X42" s="4" t="n">
        <v>4</v>
      </c>
      <c r="Y42" s="4" t="s">
        <v>373</v>
      </c>
      <c r="Z42" s="4" t="s">
        <v>70</v>
      </c>
      <c r="AA42" s="4" t="s">
        <v>374</v>
      </c>
      <c r="AB42" s="4" t="s">
        <v>72</v>
      </c>
      <c r="AC42" s="4" t="s">
        <v>73</v>
      </c>
      <c r="AD42" s="4" t="s">
        <v>106</v>
      </c>
      <c r="AE42" s="3" t="s">
        <v>62</v>
      </c>
      <c r="AF42" s="3" t="s">
        <v>375</v>
      </c>
    </row>
    <row r="43" customFormat="false" ht="36" hidden="false" customHeight="true" outlineLevel="0" collapsed="false">
      <c r="A43" s="4" t="n">
        <v>42</v>
      </c>
      <c r="B43" s="4" t="s">
        <v>376</v>
      </c>
      <c r="C43" s="4" t="s">
        <v>57</v>
      </c>
      <c r="D43" s="4" t="s">
        <v>21</v>
      </c>
      <c r="E43" s="4" t="n">
        <v>5</v>
      </c>
      <c r="F43" s="4" t="s">
        <v>88</v>
      </c>
      <c r="G43" s="4" t="s">
        <v>59</v>
      </c>
      <c r="H43" s="4" t="s">
        <v>78</v>
      </c>
      <c r="I43" s="4" t="n">
        <v>60</v>
      </c>
      <c r="J43" s="4" t="s">
        <v>115</v>
      </c>
      <c r="K43" s="4" t="n">
        <v>2.4</v>
      </c>
      <c r="N43" s="4" t="s">
        <v>62</v>
      </c>
      <c r="O43" s="4" t="s">
        <v>63</v>
      </c>
      <c r="P43" s="4" t="s">
        <v>377</v>
      </c>
      <c r="Q43" s="4"/>
      <c r="R43" s="4" t="s">
        <v>378</v>
      </c>
      <c r="S43" s="4" t="s">
        <v>66</v>
      </c>
      <c r="T43" s="4" t="s">
        <v>379</v>
      </c>
      <c r="U43" s="4" t="s">
        <v>380</v>
      </c>
      <c r="V43" s="4" t="n">
        <v>4</v>
      </c>
      <c r="W43" s="4" t="n">
        <v>0.6</v>
      </c>
      <c r="X43" s="4" t="n">
        <v>5.5</v>
      </c>
      <c r="Y43" s="4" t="s">
        <v>381</v>
      </c>
      <c r="Z43" s="4" t="s">
        <v>70</v>
      </c>
      <c r="AA43" s="4" t="s">
        <v>382</v>
      </c>
      <c r="AB43" s="4" t="s">
        <v>72</v>
      </c>
      <c r="AC43" s="4" t="s">
        <v>73</v>
      </c>
      <c r="AD43" s="4" t="s">
        <v>383</v>
      </c>
      <c r="AE43" s="3" t="s">
        <v>62</v>
      </c>
      <c r="AF43" s="3" t="s">
        <v>384</v>
      </c>
    </row>
    <row r="44" customFormat="false" ht="36" hidden="false" customHeight="true" outlineLevel="0" collapsed="false">
      <c r="A44" s="4" t="n">
        <v>43</v>
      </c>
      <c r="B44" s="4" t="s">
        <v>385</v>
      </c>
      <c r="C44" s="4" t="s">
        <v>57</v>
      </c>
      <c r="D44" s="4" t="s">
        <v>21</v>
      </c>
      <c r="E44" s="4" t="n">
        <v>5</v>
      </c>
      <c r="F44" s="4" t="s">
        <v>88</v>
      </c>
      <c r="G44" s="4" t="s">
        <v>89</v>
      </c>
      <c r="H44" s="4" t="s">
        <v>78</v>
      </c>
      <c r="I44" s="4" t="n">
        <v>60</v>
      </c>
      <c r="J44" s="4" t="s">
        <v>241</v>
      </c>
      <c r="K44" s="4" t="n">
        <v>1</v>
      </c>
      <c r="N44" s="4" t="s">
        <v>62</v>
      </c>
      <c r="O44" s="4" t="s">
        <v>63</v>
      </c>
      <c r="P44" s="4" t="s">
        <v>386</v>
      </c>
      <c r="Q44" s="4" t="s">
        <v>387</v>
      </c>
      <c r="R44" s="4" t="s">
        <v>388</v>
      </c>
      <c r="S44" s="4" t="s">
        <v>66</v>
      </c>
      <c r="T44" s="4" t="s">
        <v>67</v>
      </c>
      <c r="U44" s="4" t="s">
        <v>68</v>
      </c>
      <c r="V44" s="4" t="n">
        <v>3</v>
      </c>
      <c r="W44" s="4" t="n">
        <v>0.6</v>
      </c>
      <c r="X44" s="4" t="s">
        <v>389</v>
      </c>
      <c r="Y44" s="4" t="s">
        <v>390</v>
      </c>
      <c r="Z44" s="4" t="s">
        <v>70</v>
      </c>
      <c r="AA44" s="4" t="s">
        <v>391</v>
      </c>
      <c r="AB44" s="4" t="s">
        <v>72</v>
      </c>
      <c r="AC44" s="4" t="s">
        <v>73</v>
      </c>
      <c r="AD44" s="4" t="s">
        <v>392</v>
      </c>
      <c r="AE44" s="3" t="s">
        <v>63</v>
      </c>
      <c r="AF44" s="3" t="s">
        <v>75</v>
      </c>
    </row>
    <row r="45" customFormat="false" ht="36" hidden="false" customHeight="true" outlineLevel="0" collapsed="false">
      <c r="A45" s="4" t="n">
        <v>44</v>
      </c>
      <c r="B45" s="4" t="s">
        <v>393</v>
      </c>
      <c r="C45" s="4" t="s">
        <v>57</v>
      </c>
      <c r="D45" s="4" t="s">
        <v>22</v>
      </c>
      <c r="E45" s="4" t="n">
        <v>7</v>
      </c>
      <c r="F45" s="4" t="s">
        <v>88</v>
      </c>
      <c r="G45" s="4" t="s">
        <v>89</v>
      </c>
      <c r="H45" s="4" t="s">
        <v>78</v>
      </c>
      <c r="I45" s="4" t="n">
        <v>60</v>
      </c>
      <c r="J45" s="4" t="s">
        <v>90</v>
      </c>
      <c r="K45" s="4" t="n">
        <v>1.7</v>
      </c>
      <c r="L45" s="3" t="n">
        <v>0.5</v>
      </c>
      <c r="M45" s="3" t="n">
        <v>1.2</v>
      </c>
      <c r="N45" s="4" t="s">
        <v>62</v>
      </c>
      <c r="O45" s="4" t="s">
        <v>63</v>
      </c>
      <c r="P45" s="4" t="s">
        <v>394</v>
      </c>
      <c r="Q45" s="4"/>
      <c r="R45" s="4" t="s">
        <v>395</v>
      </c>
      <c r="S45" s="4" t="s">
        <v>66</v>
      </c>
      <c r="T45" s="4" t="s">
        <v>67</v>
      </c>
      <c r="U45" s="4" t="s">
        <v>396</v>
      </c>
      <c r="V45" s="4" t="n">
        <v>18</v>
      </c>
      <c r="W45" s="4" t="n">
        <v>0.75</v>
      </c>
      <c r="X45" s="4" t="n">
        <v>5.5</v>
      </c>
      <c r="Y45" s="4" t="s">
        <v>397</v>
      </c>
      <c r="Z45" s="4" t="s">
        <v>70</v>
      </c>
      <c r="AA45" s="4" t="s">
        <v>398</v>
      </c>
      <c r="AB45" s="4" t="s">
        <v>72</v>
      </c>
      <c r="AC45" s="4" t="s">
        <v>73</v>
      </c>
      <c r="AD45" s="4" t="s">
        <v>106</v>
      </c>
      <c r="AE45" s="3" t="s">
        <v>399</v>
      </c>
      <c r="AF45" s="3" t="s">
        <v>400</v>
      </c>
    </row>
    <row r="46" customFormat="false" ht="36" hidden="false" customHeight="true" outlineLevel="0" collapsed="false">
      <c r="A46" s="4" t="n">
        <v>45</v>
      </c>
      <c r="B46" s="4" t="s">
        <v>401</v>
      </c>
      <c r="C46" s="4" t="s">
        <v>57</v>
      </c>
      <c r="D46" s="4" t="s">
        <v>22</v>
      </c>
      <c r="E46" s="4" t="n">
        <v>4</v>
      </c>
      <c r="F46" s="4" t="s">
        <v>88</v>
      </c>
      <c r="G46" s="4" t="s">
        <v>59</v>
      </c>
      <c r="H46" s="4" t="s">
        <v>60</v>
      </c>
      <c r="I46" s="4" t="n">
        <v>90</v>
      </c>
      <c r="J46" s="4" t="s">
        <v>79</v>
      </c>
      <c r="K46" s="4" t="n">
        <v>1.8</v>
      </c>
      <c r="N46" s="4" t="s">
        <v>62</v>
      </c>
      <c r="O46" s="4" t="s">
        <v>63</v>
      </c>
      <c r="P46" s="4" t="s">
        <v>402</v>
      </c>
      <c r="Q46" s="4"/>
      <c r="R46" s="4" t="s">
        <v>403</v>
      </c>
      <c r="S46" s="4" t="s">
        <v>404</v>
      </c>
      <c r="T46" s="4" t="s">
        <v>93</v>
      </c>
      <c r="U46" s="4" t="s">
        <v>94</v>
      </c>
      <c r="V46" s="4" t="n">
        <v>5</v>
      </c>
      <c r="W46" s="4" t="n">
        <v>0.5</v>
      </c>
      <c r="X46" s="4" t="n">
        <v>5.5</v>
      </c>
      <c r="Y46" s="4" t="s">
        <v>405</v>
      </c>
      <c r="Z46" s="4" t="s">
        <v>70</v>
      </c>
      <c r="AA46" s="4" t="s">
        <v>406</v>
      </c>
      <c r="AB46" s="4" t="s">
        <v>72</v>
      </c>
      <c r="AC46" s="4" t="s">
        <v>73</v>
      </c>
      <c r="AD46" s="4" t="s">
        <v>407</v>
      </c>
      <c r="AE46" s="3" t="s">
        <v>408</v>
      </c>
      <c r="AF46" s="3" t="s">
        <v>409</v>
      </c>
    </row>
    <row r="47" customFormat="false" ht="36" hidden="false" customHeight="true" outlineLevel="0" collapsed="false">
      <c r="A47" s="4" t="n">
        <v>46</v>
      </c>
      <c r="B47" s="4" t="s">
        <v>410</v>
      </c>
      <c r="C47" s="4" t="s">
        <v>57</v>
      </c>
      <c r="D47" s="4" t="s">
        <v>22</v>
      </c>
      <c r="E47" s="4" t="n">
        <v>4</v>
      </c>
      <c r="F47" s="4" t="s">
        <v>88</v>
      </c>
      <c r="G47" s="4" t="s">
        <v>59</v>
      </c>
      <c r="H47" s="4" t="s">
        <v>78</v>
      </c>
      <c r="I47" s="4" t="n">
        <v>60</v>
      </c>
      <c r="J47" s="4" t="s">
        <v>292</v>
      </c>
      <c r="K47" s="4" t="n">
        <v>0.4</v>
      </c>
      <c r="L47" s="3" t="n">
        <v>0</v>
      </c>
      <c r="M47" s="3" t="n">
        <v>1.2</v>
      </c>
      <c r="N47" s="4" t="s">
        <v>62</v>
      </c>
      <c r="O47" s="4" t="s">
        <v>63</v>
      </c>
      <c r="P47" s="4" t="s">
        <v>411</v>
      </c>
      <c r="Q47" s="4"/>
      <c r="R47" s="4" t="s">
        <v>412</v>
      </c>
      <c r="S47" s="4" t="s">
        <v>413</v>
      </c>
      <c r="T47" s="4" t="s">
        <v>93</v>
      </c>
      <c r="U47" s="4" t="s">
        <v>94</v>
      </c>
      <c r="V47" s="4" t="n">
        <v>5</v>
      </c>
      <c r="W47" s="4" t="n">
        <v>0.5</v>
      </c>
      <c r="X47" s="4" t="n">
        <v>5.5</v>
      </c>
      <c r="Y47" s="4" t="s">
        <v>414</v>
      </c>
      <c r="Z47" s="4" t="s">
        <v>70</v>
      </c>
      <c r="AA47" s="4" t="s">
        <v>415</v>
      </c>
      <c r="AB47" s="4" t="s">
        <v>72</v>
      </c>
      <c r="AC47" s="4" t="s">
        <v>73</v>
      </c>
      <c r="AD47" s="4" t="s">
        <v>416</v>
      </c>
      <c r="AE47" s="3" t="s">
        <v>63</v>
      </c>
      <c r="AF47" s="3" t="s">
        <v>75</v>
      </c>
    </row>
    <row r="48" customFormat="false" ht="36" hidden="false" customHeight="true" outlineLevel="0" collapsed="false">
      <c r="A48" s="4" t="n">
        <v>47</v>
      </c>
      <c r="B48" s="4" t="s">
        <v>417</v>
      </c>
      <c r="C48" s="4" t="s">
        <v>57</v>
      </c>
      <c r="D48" s="4" t="s">
        <v>22</v>
      </c>
      <c r="E48" s="4" t="n">
        <v>6</v>
      </c>
      <c r="F48" s="4" t="s">
        <v>88</v>
      </c>
      <c r="G48" s="4" t="s">
        <v>89</v>
      </c>
      <c r="H48" s="4" t="s">
        <v>151</v>
      </c>
      <c r="I48" s="4" t="n">
        <v>45</v>
      </c>
      <c r="J48" s="4" t="s">
        <v>79</v>
      </c>
      <c r="K48" s="4" t="n">
        <v>4</v>
      </c>
      <c r="N48" s="4" t="s">
        <v>62</v>
      </c>
      <c r="O48" s="4" t="s">
        <v>63</v>
      </c>
      <c r="P48" s="4" t="s">
        <v>418</v>
      </c>
      <c r="Q48" s="4"/>
      <c r="R48" s="4" t="s">
        <v>419</v>
      </c>
      <c r="S48" s="4" t="s">
        <v>420</v>
      </c>
      <c r="T48" s="4" t="s">
        <v>67</v>
      </c>
      <c r="U48" s="4" t="s">
        <v>421</v>
      </c>
      <c r="V48" s="4" t="n">
        <v>18</v>
      </c>
      <c r="W48" s="4" t="n">
        <v>1</v>
      </c>
      <c r="X48" s="4" t="n">
        <v>5</v>
      </c>
      <c r="Y48" s="4" t="s">
        <v>422</v>
      </c>
      <c r="Z48" s="4" t="s">
        <v>70</v>
      </c>
      <c r="AA48" s="4" t="s">
        <v>423</v>
      </c>
      <c r="AB48" s="4" t="s">
        <v>72</v>
      </c>
      <c r="AC48" s="4" t="s">
        <v>73</v>
      </c>
      <c r="AD48" s="4" t="s">
        <v>424</v>
      </c>
      <c r="AE48" s="3" t="s">
        <v>425</v>
      </c>
      <c r="AF48" s="3" t="s">
        <v>246</v>
      </c>
    </row>
    <row r="49" customFormat="false" ht="36" hidden="false" customHeight="true" outlineLevel="0" collapsed="false">
      <c r="A49" s="4" t="n">
        <v>48</v>
      </c>
      <c r="B49" s="4" t="s">
        <v>426</v>
      </c>
      <c r="C49" s="4" t="s">
        <v>57</v>
      </c>
      <c r="D49" s="4" t="s">
        <v>22</v>
      </c>
      <c r="E49" s="4" t="n">
        <v>3</v>
      </c>
      <c r="F49" s="4" t="s">
        <v>88</v>
      </c>
      <c r="G49" s="4" t="s">
        <v>89</v>
      </c>
      <c r="H49" s="4" t="s">
        <v>60</v>
      </c>
      <c r="I49" s="4" t="n">
        <v>90</v>
      </c>
      <c r="J49" s="4" t="s">
        <v>90</v>
      </c>
      <c r="K49" s="4" t="n">
        <v>1.2</v>
      </c>
      <c r="L49" s="3" t="n">
        <v>0.5</v>
      </c>
      <c r="M49" s="3" t="n">
        <v>0.7</v>
      </c>
      <c r="N49" s="4" t="s">
        <v>62</v>
      </c>
      <c r="O49" s="4" t="s">
        <v>63</v>
      </c>
      <c r="P49" s="4" t="s">
        <v>427</v>
      </c>
      <c r="Q49" s="4"/>
      <c r="R49" s="4" t="s">
        <v>428</v>
      </c>
      <c r="S49" s="4" t="s">
        <v>66</v>
      </c>
      <c r="T49" s="4" t="s">
        <v>67</v>
      </c>
      <c r="U49" s="4" t="s">
        <v>429</v>
      </c>
      <c r="V49" s="4" t="n">
        <v>6</v>
      </c>
      <c r="W49" s="4" t="n">
        <v>0.5</v>
      </c>
      <c r="X49" s="4" t="n">
        <v>5.5</v>
      </c>
      <c r="Y49" s="4" t="s">
        <v>430</v>
      </c>
      <c r="Z49" s="4" t="s">
        <v>70</v>
      </c>
      <c r="AA49" s="4" t="s">
        <v>431</v>
      </c>
      <c r="AB49" s="4" t="s">
        <v>72</v>
      </c>
      <c r="AC49" s="4" t="s">
        <v>73</v>
      </c>
      <c r="AD49" s="4" t="s">
        <v>193</v>
      </c>
      <c r="AE49" s="3" t="s">
        <v>63</v>
      </c>
      <c r="AF49" s="3" t="s">
        <v>75</v>
      </c>
    </row>
    <row r="50" customFormat="false" ht="36" hidden="false" customHeight="true" outlineLevel="0" collapsed="false">
      <c r="A50" s="4" t="n">
        <v>49</v>
      </c>
      <c r="B50" s="4" t="s">
        <v>432</v>
      </c>
      <c r="C50" s="4" t="s">
        <v>57</v>
      </c>
      <c r="D50" s="4" t="s">
        <v>22</v>
      </c>
      <c r="E50" s="4" t="n">
        <v>3</v>
      </c>
      <c r="F50" s="4" t="s">
        <v>88</v>
      </c>
      <c r="G50" s="4" t="s">
        <v>59</v>
      </c>
      <c r="H50" s="4" t="s">
        <v>78</v>
      </c>
      <c r="I50" s="4" t="n">
        <v>60</v>
      </c>
      <c r="J50" s="4" t="s">
        <v>433</v>
      </c>
      <c r="K50" s="4" t="n">
        <v>3</v>
      </c>
      <c r="L50" s="3" t="n">
        <v>0.5</v>
      </c>
      <c r="M50" s="3" t="n">
        <v>2.5</v>
      </c>
      <c r="N50" s="4" t="s">
        <v>62</v>
      </c>
      <c r="O50" s="4" t="s">
        <v>63</v>
      </c>
      <c r="P50" s="4" t="s">
        <v>434</v>
      </c>
      <c r="Q50" s="4"/>
      <c r="R50" s="4" t="s">
        <v>435</v>
      </c>
      <c r="S50" s="4" t="s">
        <v>66</v>
      </c>
      <c r="T50" s="4" t="s">
        <v>436</v>
      </c>
      <c r="U50" s="4" t="s">
        <v>83</v>
      </c>
      <c r="V50" s="4" t="n">
        <v>3</v>
      </c>
      <c r="W50" s="4" t="n">
        <v>0.5</v>
      </c>
      <c r="X50" s="4" t="n">
        <v>9.5</v>
      </c>
      <c r="Y50" s="4" t="s">
        <v>437</v>
      </c>
      <c r="Z50" s="4" t="s">
        <v>70</v>
      </c>
      <c r="AA50" s="4" t="s">
        <v>438</v>
      </c>
      <c r="AB50" s="4" t="s">
        <v>72</v>
      </c>
      <c r="AC50" s="4" t="s">
        <v>73</v>
      </c>
      <c r="AD50" s="4" t="s">
        <v>298</v>
      </c>
      <c r="AE50" s="3" t="s">
        <v>175</v>
      </c>
      <c r="AF50" s="3" t="s">
        <v>439</v>
      </c>
    </row>
    <row r="51" customFormat="false" ht="36" hidden="false" customHeight="true" outlineLevel="0" collapsed="false">
      <c r="A51" s="4" t="n">
        <v>50</v>
      </c>
      <c r="B51" s="4" t="s">
        <v>440</v>
      </c>
      <c r="C51" s="4" t="s">
        <v>57</v>
      </c>
      <c r="D51" s="4" t="s">
        <v>22</v>
      </c>
      <c r="E51" s="4" t="n">
        <v>3</v>
      </c>
      <c r="F51" s="4" t="s">
        <v>88</v>
      </c>
      <c r="G51" s="4" t="s">
        <v>89</v>
      </c>
      <c r="H51" s="4" t="s">
        <v>60</v>
      </c>
      <c r="I51" s="4" t="n">
        <v>90</v>
      </c>
      <c r="J51" s="4" t="s">
        <v>90</v>
      </c>
      <c r="K51" s="4" t="n">
        <v>1.8</v>
      </c>
      <c r="N51" s="4" t="s">
        <v>62</v>
      </c>
      <c r="O51" s="4" t="s">
        <v>63</v>
      </c>
      <c r="P51" s="4" t="s">
        <v>427</v>
      </c>
      <c r="Q51" s="4"/>
      <c r="R51" s="4" t="s">
        <v>441</v>
      </c>
      <c r="S51" s="4" t="s">
        <v>66</v>
      </c>
      <c r="T51" s="4" t="s">
        <v>93</v>
      </c>
      <c r="U51" s="4" t="s">
        <v>94</v>
      </c>
      <c r="V51" s="4" t="n">
        <v>3</v>
      </c>
      <c r="W51" s="4" t="n">
        <v>0.6</v>
      </c>
      <c r="X51" s="4" t="n">
        <v>5.5</v>
      </c>
      <c r="Y51" s="4" t="s">
        <v>442</v>
      </c>
      <c r="Z51" s="4" t="s">
        <v>70</v>
      </c>
      <c r="AA51" s="4" t="s">
        <v>443</v>
      </c>
      <c r="AB51" s="4" t="s">
        <v>72</v>
      </c>
      <c r="AC51" s="4" t="s">
        <v>73</v>
      </c>
      <c r="AD51" s="4" t="s">
        <v>298</v>
      </c>
      <c r="AE51" s="3" t="s">
        <v>62</v>
      </c>
      <c r="AF51" s="3" t="s">
        <v>444</v>
      </c>
    </row>
    <row r="52" customFormat="false" ht="36" hidden="false" customHeight="true" outlineLevel="0" collapsed="false">
      <c r="A52" s="4" t="n">
        <v>51</v>
      </c>
      <c r="B52" s="4" t="s">
        <v>445</v>
      </c>
      <c r="C52" s="4" t="s">
        <v>57</v>
      </c>
      <c r="D52" s="4" t="s">
        <v>22</v>
      </c>
      <c r="E52" s="4" t="n">
        <v>3</v>
      </c>
      <c r="F52" s="4" t="s">
        <v>88</v>
      </c>
      <c r="G52" s="4" t="s">
        <v>59</v>
      </c>
      <c r="H52" s="4" t="s">
        <v>78</v>
      </c>
      <c r="I52" s="4" t="n">
        <v>60</v>
      </c>
      <c r="J52" s="4" t="s">
        <v>241</v>
      </c>
      <c r="K52" s="4" t="n">
        <v>1.7</v>
      </c>
      <c r="L52" s="3" t="n">
        <v>0.5</v>
      </c>
      <c r="M52" s="3" t="n">
        <v>1.2</v>
      </c>
      <c r="N52" s="4" t="s">
        <v>62</v>
      </c>
      <c r="O52" s="4" t="s">
        <v>63</v>
      </c>
      <c r="P52" s="4" t="s">
        <v>446</v>
      </c>
      <c r="Q52" s="4"/>
      <c r="R52" s="4" t="s">
        <v>447</v>
      </c>
      <c r="S52" s="4" t="s">
        <v>66</v>
      </c>
      <c r="T52" s="4" t="s">
        <v>448</v>
      </c>
      <c r="U52" s="4" t="s">
        <v>449</v>
      </c>
      <c r="V52" s="4" t="n">
        <v>5</v>
      </c>
      <c r="W52" s="4" t="n">
        <v>0.5</v>
      </c>
      <c r="X52" s="4" t="n">
        <v>5.5</v>
      </c>
      <c r="Y52" s="4" t="s">
        <v>450</v>
      </c>
      <c r="Z52" s="4" t="s">
        <v>70</v>
      </c>
      <c r="AA52" s="4" t="s">
        <v>451</v>
      </c>
      <c r="AB52" s="4" t="s">
        <v>72</v>
      </c>
      <c r="AC52" s="4" t="s">
        <v>73</v>
      </c>
      <c r="AD52" s="4" t="s">
        <v>298</v>
      </c>
      <c r="AE52" s="3" t="s">
        <v>62</v>
      </c>
      <c r="AF52" s="3" t="s">
        <v>452</v>
      </c>
    </row>
    <row r="53" customFormat="false" ht="36" hidden="false" customHeight="true" outlineLevel="0" collapsed="false">
      <c r="A53" s="4" t="n">
        <v>52</v>
      </c>
      <c r="B53" s="4" t="s">
        <v>453</v>
      </c>
      <c r="C53" s="4" t="s">
        <v>57</v>
      </c>
      <c r="D53" s="4" t="s">
        <v>22</v>
      </c>
      <c r="E53" s="4" t="n">
        <v>3</v>
      </c>
      <c r="F53" s="4" t="s">
        <v>88</v>
      </c>
      <c r="G53" s="4" t="s">
        <v>89</v>
      </c>
      <c r="H53" s="4" t="s">
        <v>60</v>
      </c>
      <c r="I53" s="4" t="n">
        <v>90</v>
      </c>
      <c r="J53" s="4" t="s">
        <v>454</v>
      </c>
      <c r="K53" s="4" t="n">
        <v>1</v>
      </c>
      <c r="N53" s="4" t="s">
        <v>62</v>
      </c>
      <c r="O53" s="4" t="s">
        <v>63</v>
      </c>
      <c r="P53" s="4" t="s">
        <v>455</v>
      </c>
      <c r="Q53" s="4"/>
      <c r="R53" s="4" t="s">
        <v>456</v>
      </c>
      <c r="S53" s="4" t="s">
        <v>66</v>
      </c>
      <c r="T53" s="4" t="s">
        <v>93</v>
      </c>
      <c r="U53" s="4" t="s">
        <v>94</v>
      </c>
      <c r="V53" s="4" t="n">
        <v>3</v>
      </c>
      <c r="W53" s="4" t="n">
        <v>0.6</v>
      </c>
      <c r="X53" s="4" t="n">
        <v>6</v>
      </c>
      <c r="Y53" s="4" t="s">
        <v>457</v>
      </c>
      <c r="Z53" s="4" t="s">
        <v>70</v>
      </c>
      <c r="AA53" s="4" t="s">
        <v>458</v>
      </c>
      <c r="AB53" s="4" t="s">
        <v>72</v>
      </c>
      <c r="AC53" s="4" t="s">
        <v>73</v>
      </c>
      <c r="AD53" s="4" t="s">
        <v>459</v>
      </c>
      <c r="AE53" s="3" t="s">
        <v>63</v>
      </c>
      <c r="AF53" s="3" t="s">
        <v>75</v>
      </c>
    </row>
    <row r="54" customFormat="false" ht="36" hidden="false" customHeight="true" outlineLevel="0" collapsed="false">
      <c r="A54" s="4" t="n">
        <v>53</v>
      </c>
      <c r="B54" s="4" t="s">
        <v>460</v>
      </c>
      <c r="C54" s="4" t="s">
        <v>57</v>
      </c>
      <c r="D54" s="4" t="s">
        <v>22</v>
      </c>
      <c r="E54" s="4" t="n">
        <v>7</v>
      </c>
      <c r="F54" s="4" t="s">
        <v>461</v>
      </c>
      <c r="G54" s="4" t="s">
        <v>16</v>
      </c>
      <c r="H54" s="4" t="s">
        <v>151</v>
      </c>
      <c r="I54" s="4" t="n">
        <v>45</v>
      </c>
      <c r="J54" s="4" t="s">
        <v>292</v>
      </c>
      <c r="K54" s="4" t="n">
        <v>1.3</v>
      </c>
      <c r="L54" s="3" t="n">
        <v>1</v>
      </c>
      <c r="M54" s="3" t="n">
        <v>0.3</v>
      </c>
      <c r="N54" s="4" t="s">
        <v>62</v>
      </c>
      <c r="O54" s="4" t="s">
        <v>63</v>
      </c>
      <c r="P54" s="4" t="s">
        <v>462</v>
      </c>
      <c r="Q54" s="4"/>
      <c r="R54" s="4" t="s">
        <v>463</v>
      </c>
      <c r="S54" s="4" t="s">
        <v>66</v>
      </c>
      <c r="T54" s="4" t="s">
        <v>464</v>
      </c>
      <c r="U54" s="4" t="s">
        <v>118</v>
      </c>
      <c r="V54" s="4" t="n">
        <v>5</v>
      </c>
      <c r="W54" s="4" t="n">
        <v>0.75</v>
      </c>
      <c r="X54" s="4" t="n">
        <v>5.5</v>
      </c>
      <c r="Y54" s="4" t="s">
        <v>465</v>
      </c>
      <c r="Z54" s="4" t="s">
        <v>70</v>
      </c>
      <c r="AA54" s="4" t="s">
        <v>466</v>
      </c>
      <c r="AB54" s="4" t="s">
        <v>72</v>
      </c>
      <c r="AC54" s="4" t="s">
        <v>73</v>
      </c>
      <c r="AD54" s="4" t="s">
        <v>467</v>
      </c>
      <c r="AE54" s="3" t="s">
        <v>63</v>
      </c>
      <c r="AF54" s="3" t="s">
        <v>75</v>
      </c>
    </row>
    <row r="55" customFormat="false" ht="36" hidden="false" customHeight="true" outlineLevel="0" collapsed="false">
      <c r="A55" s="4" t="n">
        <v>54</v>
      </c>
      <c r="B55" s="4" t="s">
        <v>468</v>
      </c>
      <c r="C55" s="4" t="s">
        <v>57</v>
      </c>
      <c r="D55" s="4" t="s">
        <v>22</v>
      </c>
      <c r="E55" s="4" t="n">
        <v>4</v>
      </c>
      <c r="F55" s="4" t="s">
        <v>469</v>
      </c>
      <c r="G55" s="4" t="s">
        <v>89</v>
      </c>
      <c r="H55" s="4" t="s">
        <v>78</v>
      </c>
      <c r="I55" s="4" t="n">
        <v>60</v>
      </c>
      <c r="J55" s="4" t="s">
        <v>226</v>
      </c>
      <c r="K55" s="4" t="n">
        <v>1.5</v>
      </c>
      <c r="L55" s="3" t="n">
        <v>0.75</v>
      </c>
      <c r="M55" s="3" t="n">
        <v>0.75</v>
      </c>
      <c r="N55" s="4" t="s">
        <v>62</v>
      </c>
      <c r="O55" s="4" t="s">
        <v>63</v>
      </c>
      <c r="P55" s="4" t="s">
        <v>470</v>
      </c>
      <c r="Q55" s="4"/>
      <c r="R55" s="4" t="s">
        <v>471</v>
      </c>
      <c r="S55" s="4" t="s">
        <v>66</v>
      </c>
      <c r="T55" s="4" t="s">
        <v>93</v>
      </c>
      <c r="U55" s="4" t="s">
        <v>94</v>
      </c>
      <c r="V55" s="4" t="n">
        <v>4</v>
      </c>
      <c r="W55" s="4" t="n">
        <v>0.5</v>
      </c>
      <c r="X55" s="4" t="n">
        <v>5.5</v>
      </c>
      <c r="Y55" s="4" t="s">
        <v>472</v>
      </c>
      <c r="Z55" s="4" t="s">
        <v>70</v>
      </c>
      <c r="AA55" s="4" t="s">
        <v>473</v>
      </c>
      <c r="AB55" s="4" t="s">
        <v>72</v>
      </c>
      <c r="AC55" s="4" t="s">
        <v>73</v>
      </c>
      <c r="AD55" s="4" t="s">
        <v>324</v>
      </c>
      <c r="AE55" s="3" t="s">
        <v>63</v>
      </c>
      <c r="AF55" s="3" t="s">
        <v>75</v>
      </c>
    </row>
    <row r="56" customFormat="false" ht="36" hidden="false" customHeight="true" outlineLevel="0" collapsed="false">
      <c r="A56" s="4" t="n">
        <v>55</v>
      </c>
      <c r="B56" s="4" t="s">
        <v>474</v>
      </c>
      <c r="C56" s="4" t="s">
        <v>57</v>
      </c>
      <c r="D56" s="4" t="s">
        <v>22</v>
      </c>
      <c r="E56" s="4" t="n">
        <v>4</v>
      </c>
      <c r="F56" s="4" t="s">
        <v>88</v>
      </c>
      <c r="G56" s="4" t="s">
        <v>89</v>
      </c>
      <c r="H56" s="4" t="s">
        <v>99</v>
      </c>
      <c r="I56" s="4" t="n">
        <v>120</v>
      </c>
      <c r="J56" s="4" t="s">
        <v>188</v>
      </c>
      <c r="K56" s="4" t="n">
        <v>0.8</v>
      </c>
      <c r="L56" s="3" t="n">
        <v>0.4</v>
      </c>
      <c r="M56" s="3" t="n">
        <v>0.4</v>
      </c>
      <c r="N56" s="4" t="s">
        <v>62</v>
      </c>
      <c r="O56" s="4" t="s">
        <v>63</v>
      </c>
      <c r="P56" s="4" t="s">
        <v>475</v>
      </c>
      <c r="Q56" s="4"/>
      <c r="R56" s="4" t="s">
        <v>476</v>
      </c>
      <c r="S56" s="4" t="s">
        <v>66</v>
      </c>
      <c r="T56" s="4" t="s">
        <v>93</v>
      </c>
      <c r="U56" s="4" t="s">
        <v>94</v>
      </c>
      <c r="V56" s="4" t="n">
        <v>4</v>
      </c>
      <c r="W56" s="4" t="n">
        <v>0.5</v>
      </c>
      <c r="X56" s="4" t="n">
        <v>5.5</v>
      </c>
      <c r="Y56" s="4" t="s">
        <v>477</v>
      </c>
      <c r="Z56" s="4" t="s">
        <v>70</v>
      </c>
      <c r="AA56" s="4" t="s">
        <v>478</v>
      </c>
      <c r="AB56" s="4" t="s">
        <v>72</v>
      </c>
      <c r="AC56" s="4" t="s">
        <v>73</v>
      </c>
      <c r="AD56" s="4" t="s">
        <v>479</v>
      </c>
      <c r="AE56" s="3" t="s">
        <v>63</v>
      </c>
      <c r="AF56" s="3" t="s">
        <v>75</v>
      </c>
    </row>
    <row r="57" customFormat="false" ht="36" hidden="false" customHeight="true" outlineLevel="0" collapsed="false">
      <c r="A57" s="4" t="n">
        <v>56</v>
      </c>
      <c r="B57" s="4" t="s">
        <v>480</v>
      </c>
      <c r="C57" s="4" t="s">
        <v>481</v>
      </c>
      <c r="D57" s="4" t="s">
        <v>19</v>
      </c>
      <c r="E57" s="4" t="n">
        <v>3</v>
      </c>
      <c r="F57" s="4" t="s">
        <v>88</v>
      </c>
      <c r="G57" s="4" t="s">
        <v>59</v>
      </c>
      <c r="H57" s="4" t="s">
        <v>482</v>
      </c>
      <c r="I57" s="4" t="s">
        <v>63</v>
      </c>
      <c r="J57" s="4" t="s">
        <v>483</v>
      </c>
      <c r="K57" s="4" t="s">
        <v>63</v>
      </c>
      <c r="N57" s="4" t="s">
        <v>484</v>
      </c>
      <c r="O57" s="4" t="s">
        <v>485</v>
      </c>
      <c r="P57" s="4" t="s">
        <v>63</v>
      </c>
      <c r="Q57" s="4"/>
      <c r="R57" s="4" t="s">
        <v>486</v>
      </c>
      <c r="S57" s="4" t="s">
        <v>66</v>
      </c>
      <c r="T57" s="4" t="s">
        <v>487</v>
      </c>
      <c r="U57" s="4" t="s">
        <v>488</v>
      </c>
      <c r="V57" s="4" t="s">
        <v>63</v>
      </c>
      <c r="W57" s="4" t="s">
        <v>63</v>
      </c>
      <c r="X57" s="4" t="s">
        <v>63</v>
      </c>
      <c r="Y57" s="4" t="s">
        <v>489</v>
      </c>
      <c r="Z57" s="4" t="s">
        <v>70</v>
      </c>
      <c r="AA57" s="4" t="s">
        <v>490</v>
      </c>
      <c r="AB57" s="4" t="s">
        <v>72</v>
      </c>
      <c r="AC57" s="4" t="s">
        <v>73</v>
      </c>
      <c r="AD57" s="4" t="s">
        <v>491</v>
      </c>
      <c r="AE57" s="3" t="s">
        <v>292</v>
      </c>
      <c r="AF57" s="3" t="s">
        <v>492</v>
      </c>
    </row>
    <row r="58" customFormat="false" ht="36" hidden="false" customHeight="true" outlineLevel="0" collapsed="false">
      <c r="A58" s="4" t="n">
        <v>57</v>
      </c>
      <c r="B58" s="4" t="s">
        <v>493</v>
      </c>
      <c r="C58" s="4" t="s">
        <v>481</v>
      </c>
      <c r="D58" s="4" t="s">
        <v>19</v>
      </c>
      <c r="E58" s="4" t="n">
        <v>2</v>
      </c>
      <c r="F58" s="4" t="s">
        <v>88</v>
      </c>
      <c r="G58" s="4" t="s">
        <v>59</v>
      </c>
      <c r="H58" s="4" t="s">
        <v>482</v>
      </c>
      <c r="I58" s="4" t="s">
        <v>63</v>
      </c>
      <c r="J58" s="4" t="s">
        <v>494</v>
      </c>
      <c r="K58" s="4" t="s">
        <v>63</v>
      </c>
      <c r="N58" s="4" t="s">
        <v>484</v>
      </c>
      <c r="O58" s="4" t="s">
        <v>495</v>
      </c>
      <c r="P58" s="4" t="s">
        <v>63</v>
      </c>
      <c r="Q58" s="4"/>
      <c r="R58" s="4" t="s">
        <v>496</v>
      </c>
      <c r="S58" s="4" t="s">
        <v>66</v>
      </c>
      <c r="T58" s="4" t="s">
        <v>497</v>
      </c>
      <c r="U58" s="4" t="s">
        <v>498</v>
      </c>
      <c r="V58" s="4" t="s">
        <v>63</v>
      </c>
      <c r="W58" s="4" t="s">
        <v>63</v>
      </c>
      <c r="X58" s="4" t="s">
        <v>63</v>
      </c>
      <c r="Y58" s="4" t="s">
        <v>499</v>
      </c>
      <c r="Z58" s="4" t="s">
        <v>70</v>
      </c>
      <c r="AA58" s="4" t="s">
        <v>500</v>
      </c>
      <c r="AB58" s="4" t="s">
        <v>72</v>
      </c>
      <c r="AC58" s="4" t="s">
        <v>73</v>
      </c>
      <c r="AD58" s="4" t="s">
        <v>491</v>
      </c>
      <c r="AE58" s="3" t="s">
        <v>61</v>
      </c>
      <c r="AF58" s="3" t="s">
        <v>492</v>
      </c>
    </row>
    <row r="59" customFormat="false" ht="36" hidden="false" customHeight="true" outlineLevel="0" collapsed="false">
      <c r="A59" s="4" t="n">
        <v>58</v>
      </c>
      <c r="B59" s="4" t="s">
        <v>501</v>
      </c>
      <c r="C59" s="4" t="s">
        <v>481</v>
      </c>
      <c r="D59" s="4" t="s">
        <v>20</v>
      </c>
      <c r="E59" s="4" t="n">
        <v>4</v>
      </c>
      <c r="F59" s="4" t="s">
        <v>88</v>
      </c>
      <c r="G59" s="4" t="s">
        <v>59</v>
      </c>
      <c r="H59" s="4" t="s">
        <v>482</v>
      </c>
      <c r="I59" s="4" t="s">
        <v>63</v>
      </c>
      <c r="J59" s="4" t="s">
        <v>494</v>
      </c>
      <c r="K59" s="4" t="s">
        <v>63</v>
      </c>
      <c r="N59" s="4" t="s">
        <v>484</v>
      </c>
      <c r="O59" s="4" t="s">
        <v>502</v>
      </c>
      <c r="P59" s="4" t="s">
        <v>63</v>
      </c>
      <c r="Q59" s="4"/>
      <c r="R59" s="4" t="s">
        <v>503</v>
      </c>
      <c r="S59" s="4" t="s">
        <v>66</v>
      </c>
      <c r="T59" s="4" t="s">
        <v>504</v>
      </c>
      <c r="U59" s="4" t="s">
        <v>505</v>
      </c>
      <c r="V59" s="4" t="s">
        <v>63</v>
      </c>
      <c r="W59" s="4" t="s">
        <v>63</v>
      </c>
      <c r="X59" s="4" t="s">
        <v>63</v>
      </c>
      <c r="Y59" s="4" t="s">
        <v>506</v>
      </c>
      <c r="Z59" s="4" t="s">
        <v>70</v>
      </c>
      <c r="AA59" s="4" t="s">
        <v>507</v>
      </c>
      <c r="AB59" s="4" t="s">
        <v>72</v>
      </c>
      <c r="AC59" s="4" t="s">
        <v>73</v>
      </c>
      <c r="AD59" s="4" t="s">
        <v>106</v>
      </c>
      <c r="AE59" s="3" t="s">
        <v>61</v>
      </c>
      <c r="AF59" s="3" t="s">
        <v>492</v>
      </c>
    </row>
    <row r="60" customFormat="false" ht="36" hidden="false" customHeight="true" outlineLevel="0" collapsed="false">
      <c r="A60" s="4" t="n">
        <v>59</v>
      </c>
      <c r="B60" s="4" t="s">
        <v>508</v>
      </c>
      <c r="C60" s="4" t="s">
        <v>481</v>
      </c>
      <c r="D60" s="4" t="s">
        <v>20</v>
      </c>
      <c r="E60" s="4" t="n">
        <v>6</v>
      </c>
      <c r="F60" s="4" t="s">
        <v>88</v>
      </c>
      <c r="G60" s="4" t="s">
        <v>59</v>
      </c>
      <c r="H60" s="4" t="s">
        <v>482</v>
      </c>
      <c r="I60" s="4" t="s">
        <v>63</v>
      </c>
      <c r="J60" s="4" t="s">
        <v>509</v>
      </c>
      <c r="K60" s="4" t="s">
        <v>63</v>
      </c>
      <c r="N60" s="4" t="s">
        <v>484</v>
      </c>
      <c r="O60" s="4" t="s">
        <v>502</v>
      </c>
      <c r="P60" s="4" t="s">
        <v>63</v>
      </c>
      <c r="Q60" s="4"/>
      <c r="R60" s="4" t="s">
        <v>510</v>
      </c>
      <c r="S60" s="4" t="s">
        <v>66</v>
      </c>
      <c r="T60" s="4" t="s">
        <v>511</v>
      </c>
      <c r="U60" s="4" t="s">
        <v>512</v>
      </c>
      <c r="V60" s="4" t="s">
        <v>63</v>
      </c>
      <c r="W60" s="4" t="s">
        <v>63</v>
      </c>
      <c r="X60" s="4" t="s">
        <v>63</v>
      </c>
      <c r="Y60" s="4" t="s">
        <v>513</v>
      </c>
      <c r="Z60" s="4" t="s">
        <v>70</v>
      </c>
      <c r="AA60" s="4" t="s">
        <v>514</v>
      </c>
      <c r="AB60" s="4" t="s">
        <v>72</v>
      </c>
      <c r="AC60" s="4" t="s">
        <v>73</v>
      </c>
      <c r="AD60" s="4" t="s">
        <v>515</v>
      </c>
      <c r="AE60" s="3" t="s">
        <v>175</v>
      </c>
      <c r="AF60" s="3" t="s">
        <v>492</v>
      </c>
    </row>
    <row r="61" customFormat="false" ht="36" hidden="false" customHeight="true" outlineLevel="0" collapsed="false">
      <c r="A61" s="4" t="n">
        <v>60</v>
      </c>
      <c r="B61" s="4" t="s">
        <v>516</v>
      </c>
      <c r="C61" s="4" t="s">
        <v>481</v>
      </c>
      <c r="D61" s="4" t="s">
        <v>21</v>
      </c>
      <c r="E61" s="4" t="n">
        <v>3</v>
      </c>
      <c r="F61" s="4" t="s">
        <v>517</v>
      </c>
      <c r="G61" s="4" t="s">
        <v>518</v>
      </c>
      <c r="H61" s="4" t="s">
        <v>482</v>
      </c>
      <c r="I61" s="4" t="s">
        <v>63</v>
      </c>
      <c r="J61" s="4" t="s">
        <v>519</v>
      </c>
      <c r="K61" s="4" t="s">
        <v>63</v>
      </c>
      <c r="N61" s="4" t="s">
        <v>484</v>
      </c>
      <c r="O61" s="4" t="s">
        <v>520</v>
      </c>
      <c r="P61" s="4" t="s">
        <v>63</v>
      </c>
      <c r="Q61" s="4"/>
      <c r="R61" s="4" t="s">
        <v>521</v>
      </c>
      <c r="S61" s="4" t="s">
        <v>66</v>
      </c>
      <c r="T61" s="4" t="s">
        <v>522</v>
      </c>
      <c r="U61" s="4" t="s">
        <v>523</v>
      </c>
      <c r="V61" s="4" t="s">
        <v>63</v>
      </c>
      <c r="W61" s="4" t="s">
        <v>63</v>
      </c>
      <c r="X61" s="4" t="s">
        <v>63</v>
      </c>
      <c r="Y61" s="4" t="s">
        <v>524</v>
      </c>
      <c r="Z61" s="4" t="s">
        <v>70</v>
      </c>
      <c r="AA61" s="4" t="s">
        <v>525</v>
      </c>
      <c r="AB61" s="4" t="s">
        <v>72</v>
      </c>
      <c r="AC61" s="4" t="s">
        <v>73</v>
      </c>
      <c r="AD61" s="4" t="s">
        <v>526</v>
      </c>
      <c r="AE61" s="3" t="s">
        <v>527</v>
      </c>
      <c r="AF61" s="3" t="s">
        <v>528</v>
      </c>
    </row>
    <row r="62" customFormat="false" ht="36" hidden="false" customHeight="true" outlineLevel="0" collapsed="false">
      <c r="A62" s="4" t="n">
        <v>61</v>
      </c>
      <c r="B62" s="4" t="s">
        <v>529</v>
      </c>
      <c r="C62" s="4" t="s">
        <v>481</v>
      </c>
      <c r="D62" s="4" t="s">
        <v>21</v>
      </c>
      <c r="E62" s="4" t="n">
        <v>6</v>
      </c>
      <c r="F62" s="4" t="s">
        <v>88</v>
      </c>
      <c r="G62" s="4" t="s">
        <v>530</v>
      </c>
      <c r="H62" s="4" t="s">
        <v>482</v>
      </c>
      <c r="I62" s="4" t="s">
        <v>63</v>
      </c>
      <c r="J62" s="4" t="s">
        <v>483</v>
      </c>
      <c r="K62" s="4" t="s">
        <v>63</v>
      </c>
      <c r="N62" s="4" t="s">
        <v>484</v>
      </c>
      <c r="O62" s="4" t="s">
        <v>531</v>
      </c>
      <c r="P62" s="4" t="s">
        <v>63</v>
      </c>
      <c r="Q62" s="4"/>
      <c r="R62" s="4" t="s">
        <v>532</v>
      </c>
      <c r="S62" s="4" t="s">
        <v>66</v>
      </c>
      <c r="T62" s="4" t="s">
        <v>533</v>
      </c>
      <c r="U62" s="4" t="s">
        <v>534</v>
      </c>
      <c r="V62" s="4" t="s">
        <v>63</v>
      </c>
      <c r="W62" s="4" t="s">
        <v>63</v>
      </c>
      <c r="X62" s="4" t="s">
        <v>63</v>
      </c>
      <c r="Y62" s="4" t="s">
        <v>535</v>
      </c>
      <c r="Z62" s="4" t="s">
        <v>70</v>
      </c>
      <c r="AA62" s="4" t="s">
        <v>536</v>
      </c>
      <c r="AB62" s="4" t="s">
        <v>72</v>
      </c>
      <c r="AC62" s="4" t="s">
        <v>73</v>
      </c>
      <c r="AD62" s="4" t="s">
        <v>537</v>
      </c>
      <c r="AE62" s="3" t="s">
        <v>292</v>
      </c>
      <c r="AF62" s="3" t="s">
        <v>538</v>
      </c>
    </row>
    <row r="63" customFormat="false" ht="36" hidden="false" customHeight="true" outlineLevel="0" collapsed="false">
      <c r="A63" s="4" t="n">
        <v>62</v>
      </c>
      <c r="B63" s="4" t="s">
        <v>539</v>
      </c>
      <c r="C63" s="4" t="s">
        <v>481</v>
      </c>
      <c r="D63" s="4" t="s">
        <v>21</v>
      </c>
      <c r="E63" s="4" t="n">
        <v>4</v>
      </c>
      <c r="F63" s="4" t="s">
        <v>88</v>
      </c>
      <c r="G63" s="4" t="s">
        <v>540</v>
      </c>
      <c r="H63" s="4" t="s">
        <v>482</v>
      </c>
      <c r="I63" s="4" t="s">
        <v>63</v>
      </c>
      <c r="J63" s="4" t="s">
        <v>541</v>
      </c>
      <c r="K63" s="4" t="s">
        <v>63</v>
      </c>
      <c r="N63" s="4" t="s">
        <v>484</v>
      </c>
      <c r="O63" s="4" t="s">
        <v>542</v>
      </c>
      <c r="P63" s="4" t="s">
        <v>63</v>
      </c>
      <c r="Q63" s="4"/>
      <c r="R63" s="4" t="s">
        <v>543</v>
      </c>
      <c r="S63" s="4" t="s">
        <v>66</v>
      </c>
      <c r="T63" s="4" t="s">
        <v>544</v>
      </c>
      <c r="U63" s="4" t="s">
        <v>498</v>
      </c>
      <c r="V63" s="4" t="s">
        <v>63</v>
      </c>
      <c r="W63" s="4" t="s">
        <v>63</v>
      </c>
      <c r="X63" s="4" t="s">
        <v>63</v>
      </c>
      <c r="Y63" s="4" t="s">
        <v>545</v>
      </c>
      <c r="Z63" s="4" t="s">
        <v>70</v>
      </c>
      <c r="AA63" s="4" t="s">
        <v>546</v>
      </c>
      <c r="AB63" s="4" t="s">
        <v>72</v>
      </c>
      <c r="AC63" s="4" t="s">
        <v>73</v>
      </c>
      <c r="AD63" s="4" t="s">
        <v>547</v>
      </c>
      <c r="AE63" s="3" t="s">
        <v>360</v>
      </c>
      <c r="AF63" s="3" t="s">
        <v>492</v>
      </c>
    </row>
    <row r="64" customFormat="false" ht="36" hidden="false" customHeight="true" outlineLevel="0" collapsed="false">
      <c r="A64" s="4" t="n">
        <v>63</v>
      </c>
      <c r="B64" s="4" t="s">
        <v>548</v>
      </c>
      <c r="C64" s="4" t="s">
        <v>481</v>
      </c>
      <c r="D64" s="4" t="s">
        <v>21</v>
      </c>
      <c r="E64" s="4" t="n">
        <v>4</v>
      </c>
      <c r="F64" s="4" t="s">
        <v>88</v>
      </c>
      <c r="G64" s="4" t="s">
        <v>549</v>
      </c>
      <c r="H64" s="4" t="s">
        <v>482</v>
      </c>
      <c r="I64" s="4" t="s">
        <v>63</v>
      </c>
      <c r="J64" s="4" t="s">
        <v>483</v>
      </c>
      <c r="K64" s="4" t="s">
        <v>63</v>
      </c>
      <c r="N64" s="4" t="s">
        <v>484</v>
      </c>
      <c r="O64" s="4" t="s">
        <v>550</v>
      </c>
      <c r="P64" s="4" t="s">
        <v>63</v>
      </c>
      <c r="Q64" s="4"/>
      <c r="R64" s="4" t="s">
        <v>551</v>
      </c>
      <c r="S64" s="4" t="s">
        <v>66</v>
      </c>
      <c r="T64" s="4" t="s">
        <v>552</v>
      </c>
      <c r="U64" s="4" t="s">
        <v>553</v>
      </c>
      <c r="V64" s="4" t="s">
        <v>63</v>
      </c>
      <c r="W64" s="4" t="s">
        <v>63</v>
      </c>
      <c r="X64" s="4" t="s">
        <v>63</v>
      </c>
      <c r="Y64" s="4" t="s">
        <v>554</v>
      </c>
      <c r="Z64" s="4" t="s">
        <v>70</v>
      </c>
      <c r="AA64" s="4" t="s">
        <v>555</v>
      </c>
      <c r="AB64" s="4" t="s">
        <v>72</v>
      </c>
      <c r="AC64" s="4" t="s">
        <v>73</v>
      </c>
      <c r="AD64" s="4" t="s">
        <v>537</v>
      </c>
      <c r="AE64" s="3" t="s">
        <v>292</v>
      </c>
      <c r="AF64" s="3" t="s">
        <v>556</v>
      </c>
    </row>
    <row r="65" customFormat="false" ht="36" hidden="false" customHeight="true" outlineLevel="0" collapsed="false">
      <c r="A65" s="4" t="n">
        <v>64</v>
      </c>
      <c r="B65" s="4" t="s">
        <v>557</v>
      </c>
      <c r="C65" s="4" t="s">
        <v>481</v>
      </c>
      <c r="D65" s="4" t="s">
        <v>21</v>
      </c>
      <c r="E65" s="4" t="n">
        <v>2</v>
      </c>
      <c r="F65" s="4" t="s">
        <v>88</v>
      </c>
      <c r="G65" s="4" t="s">
        <v>558</v>
      </c>
      <c r="H65" s="4" t="s">
        <v>482</v>
      </c>
      <c r="I65" s="4" t="s">
        <v>63</v>
      </c>
      <c r="J65" s="4" t="s">
        <v>541</v>
      </c>
      <c r="K65" s="4" t="s">
        <v>63</v>
      </c>
      <c r="N65" s="4" t="s">
        <v>484</v>
      </c>
      <c r="O65" s="4" t="s">
        <v>559</v>
      </c>
      <c r="P65" s="4" t="s">
        <v>63</v>
      </c>
      <c r="Q65" s="4"/>
      <c r="R65" s="4" t="s">
        <v>560</v>
      </c>
      <c r="S65" s="4" t="s">
        <v>66</v>
      </c>
      <c r="T65" s="4" t="s">
        <v>561</v>
      </c>
      <c r="U65" s="4" t="s">
        <v>498</v>
      </c>
      <c r="V65" s="4" t="s">
        <v>63</v>
      </c>
      <c r="W65" s="4" t="s">
        <v>63</v>
      </c>
      <c r="X65" s="4" t="s">
        <v>63</v>
      </c>
      <c r="Y65" s="4" t="s">
        <v>562</v>
      </c>
      <c r="Z65" s="4" t="s">
        <v>70</v>
      </c>
      <c r="AA65" s="4" t="s">
        <v>563</v>
      </c>
      <c r="AB65" s="4" t="s">
        <v>72</v>
      </c>
      <c r="AC65" s="4" t="s">
        <v>73</v>
      </c>
      <c r="AD65" s="4" t="s">
        <v>547</v>
      </c>
      <c r="AE65" s="3" t="s">
        <v>360</v>
      </c>
      <c r="AF65" s="3" t="s">
        <v>492</v>
      </c>
    </row>
    <row r="66" customFormat="false" ht="36" hidden="false" customHeight="true" outlineLevel="0" collapsed="false">
      <c r="A66" s="4" t="n">
        <v>65</v>
      </c>
      <c r="B66" s="4" t="s">
        <v>564</v>
      </c>
      <c r="C66" s="4" t="s">
        <v>481</v>
      </c>
      <c r="D66" s="4" t="s">
        <v>21</v>
      </c>
      <c r="E66" s="4" t="n">
        <v>3</v>
      </c>
      <c r="F66" s="4" t="s">
        <v>88</v>
      </c>
      <c r="G66" s="4" t="s">
        <v>565</v>
      </c>
      <c r="H66" s="4" t="s">
        <v>482</v>
      </c>
      <c r="I66" s="4" t="s">
        <v>63</v>
      </c>
      <c r="J66" s="4" t="s">
        <v>541</v>
      </c>
      <c r="K66" s="4" t="s">
        <v>63</v>
      </c>
      <c r="N66" s="4" t="s">
        <v>484</v>
      </c>
      <c r="O66" s="4" t="s">
        <v>566</v>
      </c>
      <c r="P66" s="4" t="s">
        <v>63</v>
      </c>
      <c r="Q66" s="4"/>
      <c r="R66" s="4" t="s">
        <v>567</v>
      </c>
      <c r="S66" s="4" t="s">
        <v>66</v>
      </c>
      <c r="T66" s="4" t="s">
        <v>568</v>
      </c>
      <c r="U66" s="4" t="s">
        <v>498</v>
      </c>
      <c r="V66" s="4" t="s">
        <v>63</v>
      </c>
      <c r="W66" s="4" t="s">
        <v>63</v>
      </c>
      <c r="X66" s="4" t="s">
        <v>63</v>
      </c>
      <c r="Y66" s="4" t="s">
        <v>569</v>
      </c>
      <c r="Z66" s="4" t="s">
        <v>70</v>
      </c>
      <c r="AA66" s="4" t="s">
        <v>570</v>
      </c>
      <c r="AB66" s="4" t="s">
        <v>72</v>
      </c>
      <c r="AC66" s="4" t="s">
        <v>73</v>
      </c>
      <c r="AD66" s="4" t="s">
        <v>571</v>
      </c>
      <c r="AE66" s="3" t="s">
        <v>360</v>
      </c>
      <c r="AF66" s="3" t="s">
        <v>572</v>
      </c>
    </row>
    <row r="67" customFormat="false" ht="36" hidden="false" customHeight="true" outlineLevel="0" collapsed="false">
      <c r="A67" s="4" t="n">
        <v>66</v>
      </c>
      <c r="B67" s="4" t="s">
        <v>573</v>
      </c>
      <c r="C67" s="4" t="s">
        <v>481</v>
      </c>
      <c r="D67" s="4" t="s">
        <v>21</v>
      </c>
      <c r="E67" s="4" t="n">
        <v>3</v>
      </c>
      <c r="F67" s="4" t="s">
        <v>88</v>
      </c>
      <c r="G67" s="4" t="s">
        <v>574</v>
      </c>
      <c r="H67" s="4" t="s">
        <v>482</v>
      </c>
      <c r="I67" s="4" t="s">
        <v>63</v>
      </c>
      <c r="J67" s="4" t="s">
        <v>575</v>
      </c>
      <c r="K67" s="4" t="s">
        <v>63</v>
      </c>
      <c r="N67" s="4" t="s">
        <v>484</v>
      </c>
      <c r="O67" s="4" t="s">
        <v>576</v>
      </c>
      <c r="P67" s="4" t="s">
        <v>63</v>
      </c>
      <c r="Q67" s="4"/>
      <c r="R67" s="4" t="s">
        <v>577</v>
      </c>
      <c r="S67" s="4" t="s">
        <v>66</v>
      </c>
      <c r="T67" s="4" t="s">
        <v>578</v>
      </c>
      <c r="U67" s="4" t="s">
        <v>579</v>
      </c>
      <c r="V67" s="4" t="s">
        <v>63</v>
      </c>
      <c r="W67" s="4" t="s">
        <v>63</v>
      </c>
      <c r="X67" s="4" t="s">
        <v>63</v>
      </c>
      <c r="Y67" s="4" t="s">
        <v>580</v>
      </c>
      <c r="Z67" s="4" t="s">
        <v>70</v>
      </c>
      <c r="AA67" s="4" t="s">
        <v>581</v>
      </c>
      <c r="AB67" s="4" t="s">
        <v>72</v>
      </c>
      <c r="AC67" s="4" t="s">
        <v>73</v>
      </c>
      <c r="AD67" s="4" t="s">
        <v>547</v>
      </c>
      <c r="AE67" s="3" t="s">
        <v>241</v>
      </c>
      <c r="AF67" s="3" t="s">
        <v>582</v>
      </c>
    </row>
    <row r="68" customFormat="false" ht="36" hidden="false" customHeight="true" outlineLevel="0" collapsed="false">
      <c r="A68" s="4" t="n">
        <v>67</v>
      </c>
      <c r="B68" s="4" t="s">
        <v>583</v>
      </c>
      <c r="C68" s="4" t="s">
        <v>481</v>
      </c>
      <c r="D68" s="4" t="s">
        <v>21</v>
      </c>
      <c r="E68" s="4" t="n">
        <v>1</v>
      </c>
      <c r="F68" s="4" t="s">
        <v>88</v>
      </c>
      <c r="G68" s="4" t="s">
        <v>584</v>
      </c>
      <c r="H68" s="4" t="s">
        <v>482</v>
      </c>
      <c r="I68" s="4" t="s">
        <v>63</v>
      </c>
      <c r="J68" s="4" t="s">
        <v>63</v>
      </c>
      <c r="K68" s="4" t="s">
        <v>63</v>
      </c>
      <c r="N68" s="4" t="s">
        <v>484</v>
      </c>
      <c r="O68" s="4" t="s">
        <v>63</v>
      </c>
      <c r="P68" s="4" t="s">
        <v>63</v>
      </c>
      <c r="Q68" s="4"/>
      <c r="R68" s="4" t="s">
        <v>585</v>
      </c>
      <c r="S68" s="4" t="s">
        <v>66</v>
      </c>
      <c r="T68" s="4" t="s">
        <v>586</v>
      </c>
      <c r="U68" s="4" t="s">
        <v>587</v>
      </c>
      <c r="V68" s="4" t="s">
        <v>63</v>
      </c>
      <c r="W68" s="4" t="s">
        <v>63</v>
      </c>
      <c r="X68" s="4" t="s">
        <v>63</v>
      </c>
      <c r="Y68" s="4" t="s">
        <v>588</v>
      </c>
      <c r="Z68" s="4" t="s">
        <v>70</v>
      </c>
      <c r="AA68" s="4" t="s">
        <v>589</v>
      </c>
      <c r="AB68" s="4" t="s">
        <v>72</v>
      </c>
      <c r="AC68" s="4" t="s">
        <v>73</v>
      </c>
      <c r="AD68" s="4" t="s">
        <v>590</v>
      </c>
      <c r="AE68" s="3" t="s">
        <v>63</v>
      </c>
      <c r="AF68" s="3" t="s">
        <v>591</v>
      </c>
    </row>
    <row r="69" customFormat="false" ht="36" hidden="false" customHeight="true" outlineLevel="0" collapsed="false">
      <c r="A69" s="4" t="n">
        <v>68</v>
      </c>
      <c r="B69" s="4" t="s">
        <v>592</v>
      </c>
      <c r="C69" s="4" t="s">
        <v>481</v>
      </c>
      <c r="D69" s="4" t="s">
        <v>22</v>
      </c>
      <c r="E69" s="4" t="n">
        <v>2</v>
      </c>
      <c r="F69" s="4" t="s">
        <v>88</v>
      </c>
      <c r="G69" s="4" t="s">
        <v>593</v>
      </c>
      <c r="H69" s="4" t="s">
        <v>482</v>
      </c>
      <c r="I69" s="4" t="s">
        <v>63</v>
      </c>
      <c r="J69" s="4" t="s">
        <v>594</v>
      </c>
      <c r="K69" s="4" t="s">
        <v>63</v>
      </c>
      <c r="N69" s="4" t="s">
        <v>484</v>
      </c>
      <c r="O69" s="4" t="s">
        <v>595</v>
      </c>
      <c r="P69" s="4" t="s">
        <v>63</v>
      </c>
      <c r="Q69" s="4"/>
      <c r="R69" s="4" t="s">
        <v>596</v>
      </c>
      <c r="S69" s="4" t="s">
        <v>66</v>
      </c>
      <c r="T69" s="4" t="s">
        <v>597</v>
      </c>
      <c r="U69" s="4" t="s">
        <v>598</v>
      </c>
      <c r="V69" s="4" t="s">
        <v>63</v>
      </c>
      <c r="W69" s="4" t="s">
        <v>63</v>
      </c>
      <c r="X69" s="4" t="s">
        <v>63</v>
      </c>
      <c r="Y69" s="4" t="s">
        <v>599</v>
      </c>
      <c r="Z69" s="4" t="s">
        <v>70</v>
      </c>
      <c r="AA69" s="4" t="s">
        <v>600</v>
      </c>
      <c r="AB69" s="4" t="s">
        <v>72</v>
      </c>
      <c r="AC69" s="4" t="s">
        <v>73</v>
      </c>
      <c r="AD69" s="4" t="s">
        <v>547</v>
      </c>
      <c r="AE69" s="3" t="s">
        <v>601</v>
      </c>
      <c r="AF69" s="3" t="s">
        <v>602</v>
      </c>
    </row>
    <row r="70" customFormat="false" ht="36" hidden="false" customHeight="true" outlineLevel="0" collapsed="false">
      <c r="A70" s="4" t="n">
        <v>69</v>
      </c>
      <c r="B70" s="4" t="s">
        <v>603</v>
      </c>
      <c r="C70" s="4" t="s">
        <v>481</v>
      </c>
      <c r="D70" s="4" t="s">
        <v>22</v>
      </c>
      <c r="E70" s="4" t="n">
        <v>5</v>
      </c>
      <c r="F70" s="4" t="s">
        <v>604</v>
      </c>
      <c r="G70" s="4" t="s">
        <v>605</v>
      </c>
      <c r="H70" s="4" t="s">
        <v>482</v>
      </c>
      <c r="I70" s="4" t="s">
        <v>63</v>
      </c>
      <c r="J70" s="4" t="s">
        <v>606</v>
      </c>
      <c r="K70" s="4" t="s">
        <v>63</v>
      </c>
      <c r="N70" s="4" t="s">
        <v>484</v>
      </c>
      <c r="O70" s="4" t="s">
        <v>607</v>
      </c>
      <c r="P70" s="4" t="s">
        <v>63</v>
      </c>
      <c r="Q70" s="4"/>
      <c r="R70" s="4" t="s">
        <v>608</v>
      </c>
      <c r="S70" s="4" t="s">
        <v>66</v>
      </c>
      <c r="T70" s="4" t="s">
        <v>609</v>
      </c>
      <c r="U70" s="4" t="s">
        <v>610</v>
      </c>
      <c r="V70" s="4" t="s">
        <v>63</v>
      </c>
      <c r="W70" s="4" t="s">
        <v>63</v>
      </c>
      <c r="X70" s="4" t="s">
        <v>63</v>
      </c>
      <c r="Y70" s="4" t="s">
        <v>611</v>
      </c>
      <c r="Z70" s="4" t="s">
        <v>70</v>
      </c>
      <c r="AA70" s="4" t="s">
        <v>612</v>
      </c>
      <c r="AB70" s="4" t="s">
        <v>72</v>
      </c>
      <c r="AC70" s="4" t="s">
        <v>73</v>
      </c>
      <c r="AD70" s="4" t="s">
        <v>613</v>
      </c>
      <c r="AE70" s="3" t="s">
        <v>349</v>
      </c>
      <c r="AF70" s="3" t="s">
        <v>614</v>
      </c>
    </row>
    <row r="71" customFormat="false" ht="36" hidden="false" customHeight="true" outlineLevel="0" collapsed="false">
      <c r="A71" s="4" t="n">
        <v>70</v>
      </c>
      <c r="B71" s="4" t="s">
        <v>615</v>
      </c>
      <c r="C71" s="4" t="s">
        <v>616</v>
      </c>
      <c r="D71" s="4" t="s">
        <v>19</v>
      </c>
      <c r="E71" s="4" t="n">
        <v>3</v>
      </c>
      <c r="F71" s="4" t="s">
        <v>88</v>
      </c>
      <c r="G71" s="4" t="s">
        <v>89</v>
      </c>
      <c r="H71" s="4" t="s">
        <v>482</v>
      </c>
      <c r="I71" s="4" t="s">
        <v>63</v>
      </c>
      <c r="J71" s="4" t="s">
        <v>241</v>
      </c>
      <c r="K71" s="4" t="n">
        <v>1</v>
      </c>
      <c r="L71" s="3" t="n">
        <v>0.7</v>
      </c>
      <c r="M71" s="3" t="n">
        <v>0.3</v>
      </c>
      <c r="N71" s="4" t="s">
        <v>62</v>
      </c>
      <c r="O71" s="4" t="s">
        <v>617</v>
      </c>
      <c r="P71" s="4" t="s">
        <v>618</v>
      </c>
      <c r="Q71" s="4"/>
      <c r="R71" s="4" t="s">
        <v>388</v>
      </c>
      <c r="S71" s="4" t="s">
        <v>66</v>
      </c>
      <c r="T71" s="4" t="s">
        <v>619</v>
      </c>
      <c r="U71" s="4" t="s">
        <v>68</v>
      </c>
      <c r="V71" s="4" t="s">
        <v>63</v>
      </c>
      <c r="W71" s="4" t="n">
        <v>0.6</v>
      </c>
      <c r="X71" s="4" t="n">
        <v>5.5</v>
      </c>
      <c r="Y71" s="4" t="s">
        <v>620</v>
      </c>
      <c r="Z71" s="4" t="s">
        <v>70</v>
      </c>
      <c r="AA71" s="4" t="s">
        <v>621</v>
      </c>
      <c r="AB71" s="4" t="s">
        <v>72</v>
      </c>
      <c r="AC71" s="4" t="s">
        <v>73</v>
      </c>
      <c r="AD71" s="4" t="s">
        <v>106</v>
      </c>
      <c r="AE71" s="3" t="s">
        <v>63</v>
      </c>
      <c r="AF71" s="3" t="s">
        <v>75</v>
      </c>
    </row>
    <row r="72" customFormat="false" ht="36" hidden="false" customHeight="true" outlineLevel="0" collapsed="false">
      <c r="A72" s="4" t="n">
        <v>71</v>
      </c>
      <c r="B72" s="4" t="s">
        <v>622</v>
      </c>
      <c r="C72" s="4" t="s">
        <v>616</v>
      </c>
      <c r="D72" s="4" t="s">
        <v>19</v>
      </c>
      <c r="E72" s="4" t="n">
        <v>4</v>
      </c>
      <c r="F72" s="4" t="s">
        <v>88</v>
      </c>
      <c r="G72" s="4" t="s">
        <v>623</v>
      </c>
      <c r="H72" s="4" t="s">
        <v>482</v>
      </c>
      <c r="I72" s="4" t="s">
        <v>63</v>
      </c>
      <c r="J72" s="4" t="s">
        <v>624</v>
      </c>
      <c r="K72" s="4" t="n">
        <v>5</v>
      </c>
      <c r="L72" s="3" t="n">
        <v>1</v>
      </c>
      <c r="M72" s="3" t="n">
        <v>4</v>
      </c>
      <c r="N72" s="4" t="s">
        <v>62</v>
      </c>
      <c r="O72" s="4" t="s">
        <v>617</v>
      </c>
      <c r="P72" s="4" t="s">
        <v>625</v>
      </c>
      <c r="Q72" s="4"/>
      <c r="R72" s="4" t="s">
        <v>219</v>
      </c>
      <c r="S72" s="4" t="s">
        <v>66</v>
      </c>
      <c r="T72" s="4" t="s">
        <v>626</v>
      </c>
      <c r="U72" s="4" t="s">
        <v>627</v>
      </c>
      <c r="V72" s="4" t="s">
        <v>63</v>
      </c>
      <c r="W72" s="4" t="n">
        <v>0.6</v>
      </c>
      <c r="X72" s="4" t="n">
        <v>11.5</v>
      </c>
      <c r="Y72" s="4" t="s">
        <v>628</v>
      </c>
      <c r="Z72" s="4" t="s">
        <v>70</v>
      </c>
      <c r="AA72" s="4" t="s">
        <v>629</v>
      </c>
      <c r="AB72" s="4" t="s">
        <v>72</v>
      </c>
      <c r="AC72" s="4" t="s">
        <v>73</v>
      </c>
      <c r="AD72" s="4" t="s">
        <v>424</v>
      </c>
      <c r="AE72" s="3" t="s">
        <v>175</v>
      </c>
      <c r="AF72" s="3" t="s">
        <v>630</v>
      </c>
    </row>
    <row r="73" customFormat="false" ht="36" hidden="false" customHeight="true" outlineLevel="0" collapsed="false">
      <c r="A73" s="4" t="n">
        <v>72</v>
      </c>
      <c r="B73" s="4" t="s">
        <v>631</v>
      </c>
      <c r="C73" s="4" t="s">
        <v>616</v>
      </c>
      <c r="D73" s="4" t="s">
        <v>19</v>
      </c>
      <c r="E73" s="4" t="n">
        <v>4</v>
      </c>
      <c r="F73" s="4" t="s">
        <v>88</v>
      </c>
      <c r="G73" s="4" t="s">
        <v>59</v>
      </c>
      <c r="H73" s="4" t="s">
        <v>482</v>
      </c>
      <c r="I73" s="4" t="s">
        <v>63</v>
      </c>
      <c r="J73" s="4" t="s">
        <v>241</v>
      </c>
      <c r="K73" s="4" t="n">
        <v>1.1</v>
      </c>
      <c r="N73" s="4" t="s">
        <v>62</v>
      </c>
      <c r="O73" s="4" t="s">
        <v>617</v>
      </c>
      <c r="P73" s="4" t="s">
        <v>293</v>
      </c>
      <c r="Q73" s="4"/>
      <c r="R73" s="4" t="s">
        <v>632</v>
      </c>
      <c r="S73" s="4" t="s">
        <v>66</v>
      </c>
      <c r="T73" s="4" t="s">
        <v>633</v>
      </c>
      <c r="U73" s="4" t="s">
        <v>94</v>
      </c>
      <c r="V73" s="4" t="s">
        <v>63</v>
      </c>
      <c r="W73" s="4" t="n">
        <v>0.5</v>
      </c>
      <c r="X73" s="4" t="n">
        <v>5.5</v>
      </c>
      <c r="Y73" s="4" t="s">
        <v>634</v>
      </c>
      <c r="Z73" s="4" t="s">
        <v>70</v>
      </c>
      <c r="AA73" s="4" t="s">
        <v>635</v>
      </c>
      <c r="AB73" s="4" t="s">
        <v>72</v>
      </c>
      <c r="AC73" s="4" t="s">
        <v>73</v>
      </c>
      <c r="AD73" s="4" t="s">
        <v>193</v>
      </c>
      <c r="AE73" s="3" t="s">
        <v>63</v>
      </c>
      <c r="AF73" s="3" t="s">
        <v>75</v>
      </c>
    </row>
    <row r="74" customFormat="false" ht="36" hidden="false" customHeight="true" outlineLevel="0" collapsed="false">
      <c r="A74" s="4" t="n">
        <v>73</v>
      </c>
      <c r="B74" s="4" t="s">
        <v>636</v>
      </c>
      <c r="C74" s="4" t="s">
        <v>616</v>
      </c>
      <c r="D74" s="4" t="s">
        <v>20</v>
      </c>
      <c r="E74" s="4" t="n">
        <v>5</v>
      </c>
      <c r="F74" s="4" t="s">
        <v>637</v>
      </c>
      <c r="G74" s="4" t="s">
        <v>638</v>
      </c>
      <c r="H74" s="4" t="s">
        <v>482</v>
      </c>
      <c r="I74" s="4" t="s">
        <v>63</v>
      </c>
      <c r="J74" s="4" t="s">
        <v>206</v>
      </c>
      <c r="K74" s="4" t="s">
        <v>63</v>
      </c>
      <c r="N74" s="4" t="s">
        <v>62</v>
      </c>
      <c r="O74" s="4" t="s">
        <v>639</v>
      </c>
      <c r="P74" s="4" t="s">
        <v>640</v>
      </c>
      <c r="Q74" s="4"/>
      <c r="R74" s="4" t="s">
        <v>641</v>
      </c>
      <c r="S74" s="4" t="s">
        <v>66</v>
      </c>
      <c r="T74" s="4" t="s">
        <v>67</v>
      </c>
      <c r="U74" s="4" t="s">
        <v>642</v>
      </c>
      <c r="V74" s="4" t="s">
        <v>63</v>
      </c>
      <c r="W74" s="4" t="n">
        <v>1</v>
      </c>
      <c r="X74" s="4" t="s">
        <v>643</v>
      </c>
      <c r="Y74" s="4" t="s">
        <v>644</v>
      </c>
      <c r="Z74" s="4" t="s">
        <v>70</v>
      </c>
      <c r="AA74" s="4" t="s">
        <v>645</v>
      </c>
      <c r="AB74" s="4" t="s">
        <v>72</v>
      </c>
      <c r="AC74" s="4" t="s">
        <v>73</v>
      </c>
      <c r="AD74" s="4" t="s">
        <v>646</v>
      </c>
      <c r="AE74" s="3" t="s">
        <v>63</v>
      </c>
      <c r="AF74" s="3" t="s">
        <v>75</v>
      </c>
    </row>
    <row r="75" customFormat="false" ht="36" hidden="false" customHeight="true" outlineLevel="0" collapsed="false">
      <c r="A75" s="4" t="n">
        <v>74</v>
      </c>
      <c r="B75" s="4" t="s">
        <v>647</v>
      </c>
      <c r="C75" s="4" t="s">
        <v>616</v>
      </c>
      <c r="D75" s="4" t="s">
        <v>20</v>
      </c>
      <c r="E75" s="4" t="n">
        <v>3</v>
      </c>
      <c r="F75" s="4" t="s">
        <v>637</v>
      </c>
      <c r="G75" s="4" t="s">
        <v>648</v>
      </c>
      <c r="H75" s="4" t="s">
        <v>482</v>
      </c>
      <c r="I75" s="4" t="s">
        <v>63</v>
      </c>
      <c r="J75" s="4" t="s">
        <v>63</v>
      </c>
      <c r="K75" s="4" t="s">
        <v>63</v>
      </c>
      <c r="N75" s="4" t="s">
        <v>62</v>
      </c>
      <c r="O75" s="4" t="s">
        <v>639</v>
      </c>
      <c r="P75" s="4" t="s">
        <v>649</v>
      </c>
      <c r="Q75" s="4"/>
      <c r="R75" s="4" t="s">
        <v>650</v>
      </c>
      <c r="S75" s="4" t="s">
        <v>66</v>
      </c>
      <c r="T75" s="4" t="s">
        <v>93</v>
      </c>
      <c r="U75" s="4" t="s">
        <v>651</v>
      </c>
      <c r="V75" s="4" t="s">
        <v>63</v>
      </c>
      <c r="W75" s="4" t="n">
        <v>1</v>
      </c>
      <c r="X75" s="4" t="s">
        <v>643</v>
      </c>
      <c r="Y75" s="4" t="s">
        <v>652</v>
      </c>
      <c r="Z75" s="4" t="s">
        <v>70</v>
      </c>
      <c r="AA75" s="4" t="s">
        <v>653</v>
      </c>
      <c r="AB75" s="4" t="s">
        <v>72</v>
      </c>
      <c r="AC75" s="4" t="s">
        <v>73</v>
      </c>
      <c r="AD75" s="4" t="s">
        <v>654</v>
      </c>
      <c r="AE75" s="3" t="s">
        <v>63</v>
      </c>
      <c r="AF75" s="3" t="s">
        <v>75</v>
      </c>
    </row>
    <row r="76" customFormat="false" ht="36" hidden="false" customHeight="true" outlineLevel="0" collapsed="false">
      <c r="A76" s="4" t="n">
        <v>75</v>
      </c>
      <c r="B76" s="4" t="s">
        <v>655</v>
      </c>
      <c r="C76" s="4" t="s">
        <v>616</v>
      </c>
      <c r="D76" s="4" t="s">
        <v>20</v>
      </c>
      <c r="E76" s="4" t="n">
        <v>4</v>
      </c>
      <c r="F76" s="4" t="s">
        <v>88</v>
      </c>
      <c r="G76" s="4" t="s">
        <v>656</v>
      </c>
      <c r="H76" s="4" t="s">
        <v>482</v>
      </c>
      <c r="I76" s="4" t="s">
        <v>63</v>
      </c>
      <c r="J76" s="4" t="s">
        <v>206</v>
      </c>
      <c r="K76" s="4" t="n">
        <v>1.6</v>
      </c>
      <c r="N76" s="4" t="s">
        <v>62</v>
      </c>
      <c r="O76" s="4" t="s">
        <v>617</v>
      </c>
      <c r="P76" s="4" t="s">
        <v>657</v>
      </c>
      <c r="Q76" s="4"/>
      <c r="R76" s="4" t="s">
        <v>658</v>
      </c>
      <c r="S76" s="4" t="s">
        <v>66</v>
      </c>
      <c r="T76" s="4" t="s">
        <v>659</v>
      </c>
      <c r="U76" s="4" t="s">
        <v>118</v>
      </c>
      <c r="V76" s="4" t="s">
        <v>63</v>
      </c>
      <c r="W76" s="4" t="n">
        <v>0.6</v>
      </c>
      <c r="X76" s="4" t="n">
        <v>5.5</v>
      </c>
      <c r="Y76" s="4" t="s">
        <v>660</v>
      </c>
      <c r="Z76" s="4" t="s">
        <v>70</v>
      </c>
      <c r="AA76" s="4" t="s">
        <v>661</v>
      </c>
      <c r="AB76" s="4" t="s">
        <v>72</v>
      </c>
      <c r="AC76" s="4" t="s">
        <v>73</v>
      </c>
      <c r="AD76" s="4" t="s">
        <v>662</v>
      </c>
      <c r="AE76" s="3" t="s">
        <v>663</v>
      </c>
      <c r="AF76" s="3" t="s">
        <v>664</v>
      </c>
    </row>
    <row r="77" customFormat="false" ht="36" hidden="false" customHeight="true" outlineLevel="0" collapsed="false">
      <c r="A77" s="4" t="n">
        <v>76</v>
      </c>
      <c r="B77" s="4" t="s">
        <v>665</v>
      </c>
      <c r="C77" s="4" t="s">
        <v>616</v>
      </c>
      <c r="D77" s="4" t="s">
        <v>20</v>
      </c>
      <c r="E77" s="4" t="n">
        <v>5</v>
      </c>
      <c r="F77" s="4" t="s">
        <v>88</v>
      </c>
      <c r="G77" s="4" t="s">
        <v>59</v>
      </c>
      <c r="H77" s="4" t="s">
        <v>482</v>
      </c>
      <c r="I77" s="4" t="s">
        <v>63</v>
      </c>
      <c r="J77" s="4" t="s">
        <v>206</v>
      </c>
      <c r="K77" s="4" t="n">
        <v>0.4</v>
      </c>
      <c r="L77" s="3" t="n">
        <v>0</v>
      </c>
      <c r="M77" s="3" t="n">
        <v>1.6</v>
      </c>
      <c r="N77" s="4" t="s">
        <v>62</v>
      </c>
      <c r="O77" s="4" t="s">
        <v>617</v>
      </c>
      <c r="P77" s="4" t="s">
        <v>666</v>
      </c>
      <c r="Q77" s="4"/>
      <c r="R77" s="4" t="s">
        <v>667</v>
      </c>
      <c r="S77" s="4" t="s">
        <v>66</v>
      </c>
      <c r="T77" s="4" t="s">
        <v>668</v>
      </c>
      <c r="U77" s="4" t="s">
        <v>94</v>
      </c>
      <c r="V77" s="4" t="s">
        <v>63</v>
      </c>
      <c r="W77" s="4" t="n">
        <v>0.6</v>
      </c>
      <c r="X77" s="4" t="n">
        <v>6</v>
      </c>
      <c r="Y77" s="4" t="s">
        <v>669</v>
      </c>
      <c r="Z77" s="4" t="s">
        <v>70</v>
      </c>
      <c r="AA77" s="4" t="s">
        <v>670</v>
      </c>
      <c r="AB77" s="4" t="s">
        <v>72</v>
      </c>
      <c r="AC77" s="4" t="s">
        <v>73</v>
      </c>
      <c r="AD77" s="4" t="s">
        <v>106</v>
      </c>
      <c r="AE77" s="3" t="s">
        <v>63</v>
      </c>
      <c r="AF77" s="3" t="s">
        <v>75</v>
      </c>
    </row>
    <row r="78" customFormat="false" ht="36" hidden="false" customHeight="true" outlineLevel="0" collapsed="false">
      <c r="A78" s="4" t="n">
        <v>77</v>
      </c>
      <c r="B78" s="4" t="s">
        <v>671</v>
      </c>
      <c r="C78" s="4" t="s">
        <v>616</v>
      </c>
      <c r="D78" s="4" t="s">
        <v>20</v>
      </c>
      <c r="E78" s="4" t="n">
        <v>6</v>
      </c>
      <c r="F78" s="4" t="s">
        <v>637</v>
      </c>
      <c r="G78" s="4" t="s">
        <v>672</v>
      </c>
      <c r="H78" s="4" t="s">
        <v>482</v>
      </c>
      <c r="I78" s="4" t="s">
        <v>63</v>
      </c>
      <c r="J78" s="4" t="s">
        <v>63</v>
      </c>
      <c r="K78" s="4" t="s">
        <v>63</v>
      </c>
      <c r="N78" s="4" t="s">
        <v>62</v>
      </c>
      <c r="O78" s="4" t="s">
        <v>617</v>
      </c>
      <c r="P78" s="4" t="s">
        <v>673</v>
      </c>
      <c r="Q78" s="4"/>
      <c r="R78" s="4" t="s">
        <v>674</v>
      </c>
      <c r="S78" s="4" t="s">
        <v>66</v>
      </c>
      <c r="T78" s="4" t="s">
        <v>93</v>
      </c>
      <c r="U78" s="4" t="s">
        <v>675</v>
      </c>
      <c r="V78" s="4" t="s">
        <v>63</v>
      </c>
      <c r="W78" s="4" t="n">
        <v>1</v>
      </c>
      <c r="X78" s="4" t="s">
        <v>643</v>
      </c>
      <c r="Y78" s="4" t="s">
        <v>676</v>
      </c>
      <c r="Z78" s="4" t="s">
        <v>70</v>
      </c>
      <c r="AA78" s="4" t="s">
        <v>677</v>
      </c>
      <c r="AB78" s="4" t="s">
        <v>72</v>
      </c>
      <c r="AC78" s="4" t="s">
        <v>73</v>
      </c>
      <c r="AD78" s="4" t="s">
        <v>678</v>
      </c>
      <c r="AE78" s="3" t="s">
        <v>63</v>
      </c>
      <c r="AF78" s="3" t="s">
        <v>75</v>
      </c>
    </row>
    <row r="79" customFormat="false" ht="36" hidden="false" customHeight="true" outlineLevel="0" collapsed="false">
      <c r="A79" s="4" t="n">
        <v>78</v>
      </c>
      <c r="B79" s="4" t="s">
        <v>679</v>
      </c>
      <c r="C79" s="4" t="s">
        <v>616</v>
      </c>
      <c r="D79" s="4" t="s">
        <v>20</v>
      </c>
      <c r="E79" s="4" t="n">
        <v>4</v>
      </c>
      <c r="F79" s="4" t="s">
        <v>637</v>
      </c>
      <c r="G79" s="4" t="s">
        <v>680</v>
      </c>
      <c r="H79" s="4" t="s">
        <v>482</v>
      </c>
      <c r="I79" s="4" t="s">
        <v>63</v>
      </c>
      <c r="J79" s="4" t="s">
        <v>206</v>
      </c>
      <c r="K79" s="4" t="s">
        <v>63</v>
      </c>
      <c r="N79" s="4" t="s">
        <v>62</v>
      </c>
      <c r="O79" s="4" t="s">
        <v>617</v>
      </c>
      <c r="P79" s="4" t="s">
        <v>681</v>
      </c>
      <c r="Q79" s="4"/>
      <c r="R79" s="4" t="s">
        <v>682</v>
      </c>
      <c r="S79" s="4" t="s">
        <v>66</v>
      </c>
      <c r="T79" s="4" t="s">
        <v>67</v>
      </c>
      <c r="U79" s="4" t="s">
        <v>683</v>
      </c>
      <c r="V79" s="4" t="s">
        <v>63</v>
      </c>
      <c r="W79" s="4" t="n">
        <v>1</v>
      </c>
      <c r="X79" s="4" t="s">
        <v>643</v>
      </c>
      <c r="Y79" s="4" t="s">
        <v>684</v>
      </c>
      <c r="Z79" s="4" t="s">
        <v>70</v>
      </c>
      <c r="AA79" s="4" t="s">
        <v>685</v>
      </c>
      <c r="AB79" s="4" t="s">
        <v>72</v>
      </c>
      <c r="AC79" s="4" t="s">
        <v>73</v>
      </c>
      <c r="AD79" s="4" t="s">
        <v>686</v>
      </c>
      <c r="AE79" s="3" t="s">
        <v>687</v>
      </c>
      <c r="AF79" s="3" t="s">
        <v>688</v>
      </c>
    </row>
    <row r="80" customFormat="false" ht="36" hidden="false" customHeight="true" outlineLevel="0" collapsed="false">
      <c r="A80" s="4" t="n">
        <v>79</v>
      </c>
      <c r="B80" s="4" t="s">
        <v>689</v>
      </c>
      <c r="C80" s="4" t="s">
        <v>616</v>
      </c>
      <c r="D80" s="4" t="s">
        <v>20</v>
      </c>
      <c r="E80" s="4" t="n">
        <v>6</v>
      </c>
      <c r="F80" s="4" t="s">
        <v>88</v>
      </c>
      <c r="G80" s="4" t="s">
        <v>690</v>
      </c>
      <c r="H80" s="4" t="s">
        <v>482</v>
      </c>
      <c r="I80" s="4" t="s">
        <v>63</v>
      </c>
      <c r="J80" s="4" t="s">
        <v>63</v>
      </c>
      <c r="K80" s="4" t="s">
        <v>63</v>
      </c>
      <c r="N80" s="4" t="s">
        <v>62</v>
      </c>
      <c r="O80" s="4" t="s">
        <v>691</v>
      </c>
      <c r="P80" s="4" t="s">
        <v>692</v>
      </c>
      <c r="Q80" s="4"/>
      <c r="R80" s="4" t="s">
        <v>693</v>
      </c>
      <c r="S80" s="4" t="s">
        <v>66</v>
      </c>
      <c r="T80" s="4" t="s">
        <v>93</v>
      </c>
      <c r="U80" s="4" t="s">
        <v>94</v>
      </c>
      <c r="V80" s="4" t="s">
        <v>63</v>
      </c>
      <c r="W80" s="4" t="n">
        <v>1</v>
      </c>
      <c r="X80" s="4" t="s">
        <v>694</v>
      </c>
      <c r="Y80" s="4" t="s">
        <v>695</v>
      </c>
      <c r="Z80" s="4" t="s">
        <v>70</v>
      </c>
      <c r="AA80" s="4" t="s">
        <v>696</v>
      </c>
      <c r="AB80" s="4" t="s">
        <v>72</v>
      </c>
      <c r="AC80" s="4" t="s">
        <v>73</v>
      </c>
      <c r="AD80" s="4" t="s">
        <v>697</v>
      </c>
      <c r="AE80" s="3" t="s">
        <v>63</v>
      </c>
      <c r="AF80" s="3" t="s">
        <v>75</v>
      </c>
    </row>
    <row r="81" customFormat="false" ht="36" hidden="false" customHeight="true" outlineLevel="0" collapsed="false">
      <c r="A81" s="4" t="n">
        <v>80</v>
      </c>
      <c r="B81" s="4" t="s">
        <v>698</v>
      </c>
      <c r="C81" s="4" t="s">
        <v>616</v>
      </c>
      <c r="D81" s="4" t="s">
        <v>21</v>
      </c>
      <c r="E81" s="4" t="n">
        <v>6</v>
      </c>
      <c r="F81" s="4" t="s">
        <v>88</v>
      </c>
      <c r="G81" s="4" t="s">
        <v>89</v>
      </c>
      <c r="H81" s="4" t="s">
        <v>482</v>
      </c>
      <c r="I81" s="4" t="s">
        <v>63</v>
      </c>
      <c r="J81" s="4" t="s">
        <v>624</v>
      </c>
      <c r="K81" s="4" t="n">
        <v>0.3</v>
      </c>
      <c r="L81" s="3" t="n">
        <v>0</v>
      </c>
      <c r="M81" s="3" t="n">
        <v>0.3</v>
      </c>
      <c r="N81" s="4" t="s">
        <v>62</v>
      </c>
      <c r="O81" s="4" t="s">
        <v>617</v>
      </c>
      <c r="P81" s="4" t="s">
        <v>699</v>
      </c>
      <c r="Q81" s="4"/>
      <c r="R81" s="4" t="s">
        <v>700</v>
      </c>
      <c r="S81" s="4" t="s">
        <v>701</v>
      </c>
      <c r="T81" s="4" t="s">
        <v>702</v>
      </c>
      <c r="U81" s="4" t="s">
        <v>421</v>
      </c>
      <c r="V81" s="4" t="s">
        <v>63</v>
      </c>
      <c r="W81" s="4" t="n">
        <v>0.6</v>
      </c>
      <c r="X81" s="4" t="n">
        <v>11.5</v>
      </c>
      <c r="Y81" s="4" t="s">
        <v>703</v>
      </c>
      <c r="Z81" s="4" t="s">
        <v>70</v>
      </c>
      <c r="AA81" s="4" t="s">
        <v>704</v>
      </c>
      <c r="AB81" s="4" t="s">
        <v>72</v>
      </c>
      <c r="AC81" s="4" t="s">
        <v>73</v>
      </c>
      <c r="AD81" s="4" t="s">
        <v>193</v>
      </c>
      <c r="AE81" s="3" t="s">
        <v>63</v>
      </c>
      <c r="AF81" s="3" t="s">
        <v>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234375" defaultRowHeight="15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1" width="65.54"/>
    <col collapsed="false" customWidth="true" hidden="false" outlineLevel="0" max="3" min="3" style="1" width="100.82"/>
  </cols>
  <sheetData>
    <row r="1" customFormat="false" ht="42" hidden="false" customHeight="true" outlineLevel="0" collapsed="false">
      <c r="A1" s="5" t="s">
        <v>705</v>
      </c>
      <c r="B1" s="5" t="s">
        <v>706</v>
      </c>
      <c r="C1" s="5" t="s">
        <v>707</v>
      </c>
    </row>
    <row r="2" customFormat="false" ht="50" hidden="false" customHeight="true" outlineLevel="0" collapsed="false">
      <c r="A2" s="2" t="s">
        <v>32</v>
      </c>
      <c r="B2" s="2" t="s">
        <v>708</v>
      </c>
      <c r="C2" s="2" t="s">
        <v>709</v>
      </c>
    </row>
    <row r="3" customFormat="false" ht="50" hidden="false" customHeight="true" outlineLevel="0" collapsed="false">
      <c r="A3" s="2" t="s">
        <v>45</v>
      </c>
      <c r="B3" s="2" t="s">
        <v>710</v>
      </c>
      <c r="C3" s="2" t="s">
        <v>711</v>
      </c>
    </row>
    <row r="4" customFormat="false" ht="50" hidden="false" customHeight="true" outlineLevel="0" collapsed="false">
      <c r="A4" s="2" t="s">
        <v>712</v>
      </c>
      <c r="B4" s="2" t="s">
        <v>713</v>
      </c>
      <c r="C4" s="2" t="s">
        <v>714</v>
      </c>
    </row>
    <row r="5" customFormat="false" ht="50" hidden="false" customHeight="true" outlineLevel="0" collapsed="false">
      <c r="A5" s="2" t="s">
        <v>715</v>
      </c>
      <c r="B5" s="2" t="s">
        <v>716</v>
      </c>
      <c r="C5" s="2" t="s">
        <v>717</v>
      </c>
    </row>
    <row r="6" customFormat="false" ht="50" hidden="false" customHeight="true" outlineLevel="0" collapsed="false">
      <c r="A6" s="2" t="s">
        <v>47</v>
      </c>
      <c r="B6" s="2" t="s">
        <v>718</v>
      </c>
      <c r="C6" s="2" t="s">
        <v>719</v>
      </c>
    </row>
    <row r="7" customFormat="false" ht="50" hidden="false" customHeight="true" outlineLevel="0" collapsed="false">
      <c r="A7" s="2" t="s">
        <v>720</v>
      </c>
      <c r="B7" s="2" t="s">
        <v>721</v>
      </c>
      <c r="C7" s="2" t="s">
        <v>722</v>
      </c>
    </row>
    <row r="8" customFormat="false" ht="50" hidden="false" customHeight="true" outlineLevel="0" collapsed="false">
      <c r="A8" s="2" t="s">
        <v>63</v>
      </c>
      <c r="B8" s="2" t="s">
        <v>723</v>
      </c>
      <c r="C8" s="2" t="s">
        <v>724</v>
      </c>
    </row>
    <row r="9" customFormat="false" ht="15" hidden="false" customHeight="true" outlineLevel="0" collapsed="false">
      <c r="A9" s="1" t="s">
        <v>35</v>
      </c>
      <c r="B9" s="1" t="s">
        <v>725</v>
      </c>
      <c r="C9" s="1" t="s">
        <v>726</v>
      </c>
    </row>
    <row r="10" customFormat="false" ht="15" hidden="false" customHeight="true" outlineLevel="0" collapsed="false">
      <c r="A10" s="1" t="s">
        <v>36</v>
      </c>
      <c r="B10" s="1" t="s">
        <v>727</v>
      </c>
      <c r="C10" s="1" t="s">
        <v>728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234375" defaultRowHeight="15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1" width="52.92"/>
    <col collapsed="false" customWidth="true" hidden="false" outlineLevel="0" max="3" min="3" style="1" width="100.82"/>
  </cols>
  <sheetData>
    <row r="1" customFormat="false" ht="42" hidden="false" customHeight="true" outlineLevel="0" collapsed="false">
      <c r="A1" s="5" t="s">
        <v>729</v>
      </c>
      <c r="B1" s="5" t="s">
        <v>730</v>
      </c>
      <c r="C1" s="5" t="s">
        <v>731</v>
      </c>
    </row>
    <row r="2" customFormat="false" ht="42" hidden="false" customHeight="true" outlineLevel="0" collapsed="false">
      <c r="A2" s="2" t="s">
        <v>732</v>
      </c>
      <c r="B2" s="2" t="s">
        <v>733</v>
      </c>
      <c r="C2" s="2" t="s">
        <v>734</v>
      </c>
    </row>
    <row r="3" customFormat="false" ht="42" hidden="false" customHeight="true" outlineLevel="0" collapsed="false">
      <c r="A3" s="2" t="s">
        <v>735</v>
      </c>
      <c r="B3" s="2" t="s">
        <v>736</v>
      </c>
      <c r="C3" s="2" t="s">
        <v>737</v>
      </c>
    </row>
    <row r="4" customFormat="false" ht="42" hidden="false" customHeight="true" outlineLevel="0" collapsed="false">
      <c r="A4" s="2" t="s">
        <v>738</v>
      </c>
      <c r="B4" s="2" t="s">
        <v>739</v>
      </c>
      <c r="C4" s="2" t="s">
        <v>740</v>
      </c>
    </row>
    <row r="5" customFormat="false" ht="42" hidden="false" customHeight="true" outlineLevel="0" collapsed="false">
      <c r="A5" s="2" t="s">
        <v>741</v>
      </c>
      <c r="B5" s="2" t="s">
        <v>742</v>
      </c>
      <c r="C5" s="2" t="s">
        <v>743</v>
      </c>
    </row>
    <row r="6" customFormat="false" ht="42" hidden="false" customHeight="true" outlineLevel="0" collapsed="false">
      <c r="A6" s="2" t="s">
        <v>744</v>
      </c>
      <c r="B6" s="2" t="s">
        <v>745</v>
      </c>
      <c r="C6" s="2" t="s">
        <v>746</v>
      </c>
    </row>
    <row r="7" customFormat="false" ht="42" hidden="false" customHeight="true" outlineLevel="0" collapsed="false">
      <c r="A7" s="2" t="s">
        <v>747</v>
      </c>
      <c r="B7" s="2" t="s">
        <v>748</v>
      </c>
      <c r="C7" s="2" t="s">
        <v>749</v>
      </c>
    </row>
    <row r="8" customFormat="false" ht="42" hidden="false" customHeight="true" outlineLevel="0" collapsed="false">
      <c r="A8" s="2" t="s">
        <v>750</v>
      </c>
      <c r="B8" s="2" t="s">
        <v>751</v>
      </c>
      <c r="C8" s="2" t="s">
        <v>752</v>
      </c>
    </row>
    <row r="9" customFormat="false" ht="42" hidden="false" customHeight="true" outlineLevel="0" collapsed="false">
      <c r="A9" s="2" t="s">
        <v>753</v>
      </c>
      <c r="B9" s="2" t="s">
        <v>754</v>
      </c>
      <c r="C9" s="2" t="s">
        <v>755</v>
      </c>
    </row>
    <row r="10" customFormat="false" ht="42" hidden="false" customHeight="true" outlineLevel="0" collapsed="false">
      <c r="A10" s="2" t="s">
        <v>756</v>
      </c>
      <c r="B10" s="2" t="s">
        <v>757</v>
      </c>
      <c r="C10" s="2" t="s">
        <v>758</v>
      </c>
    </row>
    <row r="11" customFormat="false" ht="42" hidden="false" customHeight="true" outlineLevel="0" collapsed="false">
      <c r="A11" s="2" t="s">
        <v>759</v>
      </c>
      <c r="B11" s="2" t="s">
        <v>760</v>
      </c>
      <c r="C11" s="2" t="s">
        <v>761</v>
      </c>
    </row>
    <row r="12" customFormat="false" ht="15" hidden="false" customHeight="true" outlineLevel="0" collapsed="false">
      <c r="A12" s="1" t="s">
        <v>762</v>
      </c>
      <c r="B12" s="1" t="s">
        <v>763</v>
      </c>
      <c r="C12" s="1" t="s">
        <v>764</v>
      </c>
    </row>
    <row r="13" customFormat="false" ht="15" hidden="false" customHeight="true" outlineLevel="0" collapsed="false">
      <c r="A13" s="1" t="s">
        <v>765</v>
      </c>
      <c r="B13" s="1" t="s">
        <v>766</v>
      </c>
      <c r="C13" s="1" t="s">
        <v>767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2026-06-22T12:14:00Z</dcterms:created>
  <dc:creator>openpyxl</dc:creator>
  <dc:description/>
  <dc:language>en-US</dc:language>
  <cp:lastModifiedBy/>
  <dcterms:modified xsi:type="dcterms:W3CDTF">2026-06-23T01:05:58Z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