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37b964f5d04a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afdd51d495d4f2c"/>
    <x:sheet xmlns:r="http://schemas.openxmlformats.org/officeDocument/2006/relationships" name="Retro 80 Cards" sheetId="2" r:id="R5baa2298923d4949"/>
    <x:sheet xmlns:r="http://schemas.openxmlformats.org/officeDocument/2006/relationships" name="Hidden Stat Guide" sheetId="3" r:id="Rc29914c7a4c842f1"/>
    <x:sheet xmlns:r="http://schemas.openxmlformats.org/officeDocument/2006/relationships" name="Sources" sheetId="4" r:id="Re46ec470e43947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1"/>
      <x:color rgb="1F2D3D"/>
      <x:name val="Carlito"/>
    </x:font>
    <x:font>
      <x:b/>
      <x:sz val="16"/>
      <x:color rgb="1F2D3D"/>
      <x:name val="Carlito"/>
    </x:font>
    <x:font>
      <x:b/>
      <x:sz val="11"/>
      <x:color rgb="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D9EAD3"/>
      </x:patternFill>
    </x:fill>
    <x:fill>
      <x:patternFill patternType="solid">
        <x:fgColor rgb="E8F3EA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borderId="0" xfId="0" applyNumberFormat="1" applyFont="1" applyFill="0" applyBorder="1"/>
    <x:xf numFmtId="0" fontId="1" borderId="1" xfId="0" applyNumberFormat="1" applyFont="1" applyFill="0" applyBorder="1"/>
    <x:xf numFmtId="0" fontId="1" borderId="0" xfId="0" applyNumberFormat="1" applyFont="1" applyFill="0" applyBorder="1" applyAlignment="1">
      <x:alignment wrapText="1"/>
    </x:xf>
    <x:xf numFmtId="0" fontId="1" borderId="1" xfId="0" applyNumberFormat="1" applyFont="1" applyFill="0" applyBorder="1" applyAlignment="1">
      <x:alignment wrapText="1"/>
    </x:xf>
    <x:xf numFmtId="0" fontId="1" borderId="0" xfId="0" applyNumberFormat="1" applyFont="1" applyFill="0" applyBorder="1" applyAlignment="1">
      <x:alignment vertical="center" wrapText="1"/>
    </x:xf>
    <x:xf numFmtId="0" fontId="1" borderId="1" xfId="0" applyNumberFormat="1" applyFont="1" applyFill="0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borderId="0" xfId="0" applyNumberFormat="1" applyFont="1" applyFill="0" applyBorder="1"/>
    <x:xf numFmtId="0" fontId="2" borderId="1" xfId="0" applyNumberFormat="1" applyFont="1" applyFill="0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horizontal="center" vertical="top" wrapText="1"/>
    </x:xf>
    <x:xf numFmtId="200" fontId="0" fillId="0" borderId="1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borderId="0" xfId="0" applyNumberFormat="1" applyFont="1" applyFill="0" applyBorder="1" applyAlignment="1">
      <x:alignment vertical="top" wrapText="1"/>
    </x:xf>
    <x:xf numFmtId="0" fontId="0" borderId="1" xfId="0" applyNumberFormat="1" applyFont="1" applyFill="0" applyBorder="1" applyAlignment="1">
      <x:alignment vertical="top" wrapText="1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69037e296340cd" /><Relationship Type="http://schemas.openxmlformats.org/officeDocument/2006/relationships/theme" Target="/xl/theme/theme1.xml" Id="Rfefaa89c2d464387" /><Relationship Type="http://schemas.openxmlformats.org/officeDocument/2006/relationships/sharedStrings" Target="/xl/sharedStrings.xml" Id="Rab5a843a136b417b" /><Relationship Type="http://schemas.openxmlformats.org/officeDocument/2006/relationships/worksheet" Target="/xl/worksheets/sheet1.xml" Id="Rdafdd51d495d4f2c" /><Relationship Type="http://schemas.openxmlformats.org/officeDocument/2006/relationships/worksheet" Target="/xl/worksheets/sheet2.xml" Id="R5baa2298923d4949" /><Relationship Type="http://schemas.openxmlformats.org/officeDocument/2006/relationships/worksheet" Target="/xl/worksheets/sheet3.xml" Id="Rc29914c7a4c842f1" /><Relationship Type="http://schemas.openxmlformats.org/officeDocument/2006/relationships/worksheet" Target="/xl/worksheets/sheet4.xml" Id="Re46ec470e4394748" /></Relationships>
</file>

<file path=xl/tables/table1.xml><?xml version="1.0" encoding="utf-8"?>
<x:table xmlns:x="http://schemas.openxmlformats.org/spreadsheetml/2006/main" id="1" name="Table1" displayName="Table1" ref="A1:AB81" headerRowCount="1">
  <x:tableColumns count="28">
    <x:tableColumn id="1" name="#"/>
    <x:tableColumn id="2" name="Card"/>
    <x:tableColumn id="3" name="Type"/>
    <x:tableColumn id="4" name="Rarity"/>
    <x:tableColumn id="5" name="Elixir"/>
    <x:tableColumn id="6" name="Count / spawned units"/>
    <x:tableColumn id="7" name="Targets"/>
    <x:tableColumn id="8" name="Movement speed category"/>
    <x:tableColumn id="9" name="Movement speed number"/>
    <x:tableColumn id="10" name="Range / radius (tiles)"/>
    <x:tableColumn id="11" name="Hit speed / cadence"/>
    <x:tableColumn id="12" name="Deploy / cast time"/>
    <x:tableColumn id="13" name="Lifetime / duration"/>
    <x:tableColumn id="14" name="Level 11 HP / health"/>
    <x:tableColumn id="15" name="Shield HP"/>
    <x:tableColumn id="16" name="Level 11 damage / effect"/>
    <x:tableColumn id="17" name="DPS / total damage note"/>
    <x:tableColumn id="18" name="Projectile / attack object"/>
    <x:tableColumn id="19" name="Projectile speed (tiles/min)"/>
    <x:tableColumn id="20" name="Mass / weight"/>
    <x:tableColumn id="21" name="Collision radius (tiles)"/>
    <x:tableColumn id="22" name="Sight range"/>
    <x:tableColumn id="23" name="Quirks / mechanics"/>
    <x:tableColumn id="24" name="Data coverage"/>
    <x:tableColumn id="25" name="Card stats source URL"/>
    <x:tableColumn id="26" name="Hidden stat source URL"/>
    <x:tableColumn id="27" name="Datamine source URL"/>
    <x:tableColumn id="28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175780b4867421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0" hidden="0" customWidth="1"/>
  </x:cols>
  <x:sheetData>
    <x:row r="1" ht="30" customHeight="1">
      <x:c r="A1" s="12" t="str">
        <x:v>Retro Royale Card Stats Workbook</x:v>
      </x:c>
      <x:c r="B1" s="12" t="str"/>
    </x:row>
    <x:row r="2" ht="48" customHeight="1">
      <x:c r="A2" s="16" t="str">
        <x:v>Scope</x:v>
      </x:c>
      <x:c r="B2" s="14" t="str">
        <x:v>All 80 Retro Royale cards listed in the Retro Royale event pool. Tower Princess is not included in the 80 deck cards; it is a tower troop listed separately by the wiki.</x:v>
      </x:c>
    </x:row>
    <x:row r="3" ht="48" customHeight="1">
      <x:c r="A3" s="16" t="str">
        <x:v>Baseline</x:v>
      </x:c>
      <x:c r="B3" s="14" t="str">
        <x:v>Tournament/friendly Level 11 where numeric card stats are available from public stat pages.</x:v>
      </x:c>
    </x:row>
    <x:row r="4" ht="48" customHeight="1">
      <x:c r="A4" s="16" t="str">
        <x:v>Important caveat</x:v>
      </x:c>
      <x:c r="B4" s="14" t="str">
        <x:v>Hidden mass, collision radius, sight range, projectile speeds, and splash/area radii are sourced from the AesDragon hidden-stat tables and legacy datamine references. They are not shown in-game, so they are marked as hidden/community-derived rather than missing.</x:v>
      </x:c>
    </x:row>
    <x:row r="5" ht="48" customHeight="1">
      <x:c r="A5" s="16" t="str">
        <x:v>What is included</x:v>
      </x:c>
      <x:c r="B5" s="14" t="str">
        <x:v>Type, rarity, elixir, unit count/spawns, targets, movement speed, range/radius, hit cadence, deploy/cast time, duration/lifetime, Level 11 HP/damage/effects, projectile/attack object, projectile speed, mass/weight, collision radius, sight range, splash/AoE radius, quirks, and row-wise source URLs.</x:v>
      </x:c>
    </x:row>
    <x:row r="6" ht="48" customHeight="1">
      <x:c r="A6" s="16" t="str">
        <x:v>Useful filters</x:v>
      </x:c>
      <x:c r="B6" s="14" t="str">
        <x:v>Filter the main sheet by Type, Rarity, Data coverage, AoE/splash radius, source URLs, projectile/mass/collision/sight columns, or specific quirks.</x:v>
      </x:c>
    </x:row>
    <x:row r="7" ht="48" customHeight="1">
      <x:c r="A7" s="16" t="str">
        <x:v>Generated</x:v>
      </x:c>
      <x:c r="B7" s="14" t="str">
        <x:v>2026-04-30</x:v>
      </x:c>
    </x:row>
    <x:row r="8" ht="48" customHeight="1">
      <x:c r="A8" s="16" t="str">
        <x:v>Rows in main table</x:v>
      </x:c>
      <x:c r="B8" s="18" t="n">
        <x:f>COUNTA('Retro 80 Cards'!B2:B81)</x:f>
        <x:v>80</x:v>
      </x:c>
    </x:row>
    <x:row r="9" ht="48" customHeight="1">
      <x:c r="A9" s="16" t="str">
        <x:v>Troops</x:v>
      </x:c>
      <x:c r="B9" s="18" t="n">
        <x:f>COUNTIF('Retro 80 Cards'!C2:C81,"Troop")</x:f>
        <x:v>55</x:v>
      </x:c>
    </x:row>
    <x:row r="10" ht="48" customHeight="1">
      <x:c r="A10" s="16" t="str">
        <x:v>Spells</x:v>
      </x:c>
      <x:c r="B10" s="18" t="n">
        <x:f>COUNTIF('Retro 80 Cards'!C2:C81,"Spell")</x:f>
        <x:v>14</x:v>
      </x:c>
    </x:row>
    <x:row r="11" ht="48" customHeight="1">
      <x:c r="A11" s="16" t="str">
        <x:v>Buildings</x:v>
      </x:c>
      <x:c r="B11" s="18" t="n">
        <x:f>COUNTIF('Retro 80 Cards'!C2:C81,"Building")</x:f>
        <x:v>11</x:v>
      </x:c>
    </x:row>
    <x:row r="13">
      <x:c r="A13" s="4" t="str">
        <x:v>Quick counts</x:v>
      </x:c>
      <x:c r="B13" s="4" t="str">
        <x:v>Formula</x:v>
      </x:c>
    </x:row>
    <x:row r="14">
      <x:c r="A14" t="str">
        <x:v>Common</x:v>
      </x:c>
      <x:c r="B14" s="30" t="n">
        <x:f>COUNTIF('Retro 80 Cards'!D2:D81,"Common")</x:f>
        <x:v>21</x:v>
      </x:c>
    </x:row>
    <x:row r="15">
      <x:c r="A15" t="str">
        <x:v>Rare</x:v>
      </x:c>
      <x:c r="B15" s="30" t="n">
        <x:f>COUNTIF('Retro 80 Cards'!D2:D81,"Rare")</x:f>
        <x:v>22</x:v>
      </x:c>
    </x:row>
    <x:row r="16">
      <x:c r="A16" t="str">
        <x:v>Epic</x:v>
      </x:c>
      <x:c r="B16" s="30" t="n">
        <x:f>COUNTIF('Retro 80 Cards'!D2:D81,"Epic")</x:f>
        <x:v>23</x:v>
      </x:c>
    </x:row>
    <x:row r="17">
      <x:c r="A17" t="str">
        <x:v>Legendary</x:v>
      </x:c>
      <x:c r="B17" s="30" t="n">
        <x:f>COUNTIF('Retro 80 Cards'!D2:D81,"Legendary")</x:f>
        <x:v>14</x:v>
      </x:c>
    </x:row>
    <x:row r="18">
      <x:c r="A18" t="str">
        <x:v>Rows cross-checked against hidden-stat tables</x:v>
      </x:c>
      <x:c r="B18" s="30" t="n">
        <x:v>80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" hidden="0" customWidth="1"/>
    <x:col min="2" max="2" width="22" hidden="0" customWidth="1"/>
    <x:col min="3" max="3" width="11" hidden="0" customWidth="1"/>
    <x:col min="4" max="4" width="11" hidden="0" customWidth="1"/>
    <x:col min="5" max="5" width="8" hidden="0" customWidth="1"/>
    <x:col min="6" max="6" width="18" hidden="0" customWidth="1"/>
    <x:col min="7" max="7" width="15" hidden="0" customWidth="1"/>
    <x:col min="8" max="8" width="22" hidden="0" customWidth="1"/>
    <x:col min="9" max="9" width="13" hidden="0" customWidth="1"/>
    <x:col min="10" max="10" width="20" hidden="0" customWidth="1"/>
    <x:col min="11" max="11" width="18" hidden="0" customWidth="1"/>
    <x:col min="12" max="12" width="15" hidden="0" customWidth="1"/>
    <x:col min="13" max="13" width="16" hidden="0" customWidth="1"/>
    <x:col min="14" max="14" width="28" hidden="0" customWidth="1"/>
    <x:col min="15" max="15" width="18" hidden="0" customWidth="1"/>
    <x:col min="16" max="16" width="34" hidden="0" customWidth="1"/>
    <x:col min="17" max="17" width="24" hidden="0" customWidth="1"/>
    <x:col min="18" max="18" width="28" hidden="0" customWidth="1"/>
    <x:col min="19" max="19" width="18" hidden="0" customWidth="1"/>
    <x:col min="20" max="20" width="15" hidden="0" customWidth="1"/>
    <x:col min="21" max="21" width="18" hidden="0" customWidth="1"/>
    <x:col min="22" max="22" width="22" hidden="0" customWidth="1"/>
    <x:col min="23" max="23" width="42" hidden="0" customWidth="1"/>
    <x:col min="24" max="24" width="48" hidden="0" customWidth="1"/>
    <x:col min="25" max="25" width="42" hidden="0" customWidth="1"/>
    <x:col min="26" max="26" width="42" hidden="0" customWidth="1"/>
    <x:col min="27" max="27" width="42" hidden="0" customWidth="1"/>
    <x:col min="28" max="28" width="38" hidden="0" customWidth="1"/>
    <x:col min="29" max="29" width="20" hidden="0" customWidth="1"/>
    <x:col min="30" max="30" width="34" hidden="0" customWidth="1"/>
  </x:cols>
  <x:sheetData>
    <x:row r="1" ht="48" customHeight="1">
      <x:c r="A1" s="36" t="str">
        <x:v>#</x:v>
      </x:c>
      <x:c r="B1" s="36" t="str">
        <x:v>Card</x:v>
      </x:c>
      <x:c r="C1" s="36" t="str">
        <x:v>Type</x:v>
      </x:c>
      <x:c r="D1" s="36" t="str">
        <x:v>Rarity</x:v>
      </x:c>
      <x:c r="E1" s="36" t="str">
        <x:v>Elixir</x:v>
      </x:c>
      <x:c r="F1" s="36" t="str">
        <x:v>Count / spawned units</x:v>
      </x:c>
      <x:c r="G1" s="36" t="str">
        <x:v>Targets</x:v>
      </x:c>
      <x:c r="H1" s="36" t="str">
        <x:v>Movement speed category</x:v>
      </x:c>
      <x:c r="I1" s="36" t="str">
        <x:v>Movement speed number</x:v>
      </x:c>
      <x:c r="J1" s="36" t="str">
        <x:v>Range / radius (tiles)</x:v>
      </x:c>
      <x:c r="K1" s="36" t="str">
        <x:v>Hit speed / cadence</x:v>
      </x:c>
      <x:c r="L1" s="36" t="str">
        <x:v>Deploy / cast time</x:v>
      </x:c>
      <x:c r="M1" s="36" t="str">
        <x:v>Lifetime / duration</x:v>
      </x:c>
      <x:c r="N1" s="36" t="str">
        <x:v>Level 11 HP / health</x:v>
      </x:c>
      <x:c r="O1" s="36" t="str">
        <x:v>Shield HP</x:v>
      </x:c>
      <x:c r="P1" s="36" t="str">
        <x:v>Level 11 damage / effect</x:v>
      </x:c>
      <x:c r="Q1" s="36" t="str">
        <x:v>DPS / total damage note</x:v>
      </x:c>
      <x:c r="R1" s="36" t="str">
        <x:v>Projectile / attack object</x:v>
      </x:c>
      <x:c r="S1" s="36" t="str">
        <x:v>Projectile speed (tiles/min)</x:v>
      </x:c>
      <x:c r="T1" s="36" t="str">
        <x:v>Mass / weight</x:v>
      </x:c>
      <x:c r="U1" s="36" t="str">
        <x:v>Collision radius (tiles)</x:v>
      </x:c>
      <x:c r="V1" s="36" t="str">
        <x:v>Sight range</x:v>
      </x:c>
      <x:c r="W1" s="36" t="str">
        <x:v>Quirks / mechanics</x:v>
      </x:c>
      <x:c r="X1" s="36" t="str">
        <x:v>Data coverage</x:v>
      </x:c>
      <x:c r="Y1" s="36" t="str">
        <x:v>Card stats source URL</x:v>
      </x:c>
      <x:c r="Z1" s="36" t="str">
        <x:v>Hidden stat source URL</x:v>
      </x:c>
      <x:c r="AA1" s="36" t="str">
        <x:v>Datamine source URL</x:v>
      </x:c>
      <x:c r="AB1" s="36" t="str">
        <x:v>Notes</x:v>
      </x:c>
      <x:c r="AC1" s="35" t="str">
        <x:v>Splash / AoE radius (tiles)</x:v>
      </x:c>
      <x:c r="AD1" s="35" t="str">
        <x:v>Splash / AoE type / source note</x:v>
      </x:c>
    </x:row>
    <x:row r="2" ht="36" customHeight="1">
      <x:c r="A2" s="24" t="n">
        <x:v>1</x:v>
      </x:c>
      <x:c r="B2" s="22" t="str">
        <x:v>Minions</x:v>
      </x:c>
      <x:c r="C2" s="22" t="str">
        <x:v>Troop</x:v>
      </x:c>
      <x:c r="D2" s="22" t="str">
        <x:v>Common</x:v>
      </x:c>
      <x:c r="E2" s="24" t="n">
        <x:v>3</x:v>
      </x:c>
      <x:c r="F2" s="20" t="str">
        <x:v>3</x:v>
      </x:c>
      <x:c r="G2" s="20" t="str">
        <x:v>Air &amp; ground</x:v>
      </x:c>
      <x:c r="H2" s="20" t="str">
        <x:v>Fast</x:v>
      </x:c>
      <x:c r="I2" s="26" t="n">
        <x:v>90</x:v>
      </x:c>
      <x:c r="J2" s="20" t="str">
        <x:v>2.5</x:v>
      </x:c>
      <x:c r="K2" s="20" t="n">
        <x:v>1</x:v>
      </x:c>
      <x:c r="L2" s="20" t="str">
        <x:v>1.0</x:v>
      </x:c>
      <x:c r="M2" s="20" t="str">
        <x:v>N/A</x:v>
      </x:c>
      <x:c r="N2" s="20" t="str">
        <x:v>230</x:v>
      </x:c>
      <x:c r="O2" s="20"/>
      <x:c r="P2" s="20" t="str">
        <x:v>107 per Minion</x:v>
      </x:c>
      <x:c r="Q2" s="20" t="str">
        <x:v>See damage/effect note</x:v>
      </x:c>
      <x:c r="R2" s="20" t="str">
        <x:v>Attack projectile</x:v>
      </x:c>
      <x:c r="S2" s="20" t="str">
        <x:v>1000 attack</x:v>
      </x:c>
      <x:c r="T2" s="20" t="n">
        <x:v>2</x:v>
      </x:c>
      <x:c r="U2" s="20" t="n">
        <x:v>0.5</x:v>
      </x:c>
      <x:c r="V2" s="20" t="n">
        <x:v>5.5</x:v>
      </x:c>
      <x:c r="W2" s="20" t="str">
        <x:v>Flying swarm; formerly ranged-like attack/projectile data exists.</x:v>
      </x:c>
      <x:c r="X2" s="28" t="str">
        <x:v>Level 11 public stats included where verified; hidden fields (mass/collision/sight/projectile/splash) cross-checked against AesDragon hidden-stat tables. N/A means not applicable.</x:v>
      </x:c>
      <x:c r="Y2" s="28" t="str">
        <x:v>https://www.deckshop.pro/card/stats
https://www.deckshop.pro/card/hitpoints
https://deckmelon.com/cards/minions
https://clashroyale.fandom.com/wiki/Minions</x:v>
      </x:c>
      <x:c r="Z2" s="28" t="str">
        <x:v>https://clashroyale.fandom.com/wiki/User_blog:AesDragon/Hidden_card_stats:_Mass
https://clashroyale.fandom.com/wiki/User_blog:AesDragon/Hidden_card_stats:_Collision_radius
https://clashroyale.fandom.com/wiki/User_blog:AesDragon/Hidden_card_stats:_Sight_range
https://clashroyale.fandom.com/wiki/User_blog:AesDragon/Hidden_card_stats:_Projectile_travel_speeds
https://clashroyale.fandom.com/wiki/User_blog:AesDragon/Hidden_card_stats:_Area_damage_radius</x:v>
      </x:c>
      <x:c r="AA2" s="28" t="str">
        <x:v>https://github.com/smlbiobot/cr-csv/blob/master/assets/csv_logic/characters.csv
https://github.com/smlbiobot/cr-csv/blob/master/assets/csv_logic/projectiles.csv</x:v>
      </x:c>
      <x:c r="AB2" s="28" t="str">
        <x:v>Current L11 from Deck Shop/overview; ranged flying swarm.</x:v>
      </x:c>
      <x:c r="AC2" t="str">
        <x:v>N/A</x:v>
      </x:c>
      <x:c r="AD2" t="str">
        <x:v>Single-target / no splash or AoE</x:v>
      </x:c>
    </x:row>
    <x:row r="3" ht="36" customHeight="1">
      <x:c r="A3" s="24" t="n">
        <x:v>2</x:v>
      </x:c>
      <x:c r="B3" s="22" t="str">
        <x:v>Archers</x:v>
      </x:c>
      <x:c r="C3" s="22" t="str">
        <x:v>Troop</x:v>
      </x:c>
      <x:c r="D3" s="22" t="str">
        <x:v>Common</x:v>
      </x:c>
      <x:c r="E3" s="24" t="n">
        <x:v>3</x:v>
      </x:c>
      <x:c r="F3" s="20" t="str">
        <x:v>2</x:v>
      </x:c>
      <x:c r="G3" s="20" t="str">
        <x:v>Air &amp; ground</x:v>
      </x:c>
      <x:c r="H3" s="20" t="str">
        <x:v>Medium</x:v>
      </x:c>
      <x:c r="I3" s="26" t="n">
        <x:v>60</x:v>
      </x:c>
      <x:c r="J3" s="20" t="str">
        <x:v>5.0</x:v>
      </x:c>
      <x:c r="K3" s="20" t="n">
        <x:v>0.9</x:v>
      </x:c>
      <x:c r="L3" s="20" t="str">
        <x:v>1.0</x:v>
      </x:c>
      <x:c r="M3" s="20" t="str">
        <x:v>N/A</x:v>
      </x:c>
      <x:c r="N3" s="20" t="str">
        <x:v>304</x:v>
      </x:c>
      <x:c r="O3" s="20"/>
      <x:c r="P3" s="20" t="str">
        <x:v>112 per Archer</x:v>
      </x:c>
      <x:c r="Q3" s="20" t="str">
        <x:v>See damage/effect note</x:v>
      </x:c>
      <x:c r="R3" s="20" t="str">
        <x:v>ArcherArrow</x:v>
      </x:c>
      <x:c r="S3" s="20" t="str">
        <x:v>600 attack</x:v>
      </x:c>
      <x:c r="T3" s="20" t="n">
        <x:v>3</x:v>
      </x:c>
      <x:c r="U3" s="20" t="n">
        <x:v>0.5</x:v>
      </x:c>
      <x:c r="V3" s="20" t="n">
        <x:v>5.5</x:v>
      </x:c>
      <x:c r="W3" s="20" t="str">
        <x:v>Two ranged units; can split at deployment.</x:v>
      </x:c>
      <x:c r="X3" s="28" t="str">
        <x:v>Level 11 public stats included where verified; hidden fields (mass/collision/sight/projectile/splash) cross-checked against AesDragon hidden-stat tables. N/A means not applicable.</x:v>
      </x:c>
      <x:c r="Y3" s="28" t="str">
        <x:v>https://www.deckshop.pro/card/stats
https://www.deckshop.pro/card/hitpoints
https://deckmelon.com/cards/archers
https://clashroyale.fandom.com/wiki/Archers</x:v>
      </x:c>
      <x:c r="Z3" s="28" t="str">
        <x:v>https://clashroyale.fandom.com/wiki/User_blog:AesDragon/Hidden_card_stats:_Mass
https://clashroyale.fandom.com/wiki/User_blog:AesDragon/Hidden_card_stats:_Collision_radius
https://clashroyale.fandom.com/wiki/User_blog:AesDragon/Hidden_card_stats:_Sight_range
https://clashroyale.fandom.com/wiki/User_blog:AesDragon/Hidden_card_stats:_Projectile_travel_speeds
https://clashroyale.fandom.com/wiki/User_blog:AesDragon/Hidden_card_stats:_Area_damage_radius</x:v>
      </x:c>
      <x:c r="AA3" s="28" t="str">
        <x:v>https://github.com/smlbiobot/cr-csv/blob/master/assets/csv_logic/characters.csv
https://github.com/smlbiobot/cr-csv/blob/master/assets/csv_logic/projectiles.csv</x:v>
      </x:c>
      <x:c r="AB3" s="28" t="str">
        <x:v>Current L11 from Deckmelon/Deck Shop; two ranged units.</x:v>
      </x:c>
      <x:c r="AC3" t="str">
        <x:v>N/A</x:v>
      </x:c>
      <x:c r="AD3" t="str">
        <x:v>Single-target / no splash or AoE</x:v>
      </x:c>
    </x:row>
    <x:row r="4" ht="36" customHeight="1">
      <x:c r="A4" s="24" t="n">
        <x:v>3</x:v>
      </x:c>
      <x:c r="B4" s="22" t="str">
        <x:v>Knight</x:v>
      </x:c>
      <x:c r="C4" s="22" t="str">
        <x:v>Troop</x:v>
      </x:c>
      <x:c r="D4" s="22" t="str">
        <x:v>Common</x:v>
      </x:c>
      <x:c r="E4" s="24" t="n">
        <x:v>3</x:v>
      </x:c>
      <x:c r="F4" s="20" t="str">
        <x:v>1</x:v>
      </x:c>
      <x:c r="G4" s="20" t="str">
        <x:v>Ground</x:v>
      </x:c>
      <x:c r="H4" s="20" t="str">
        <x:v>Medium</x:v>
      </x:c>
      <x:c r="I4" s="26" t="n">
        <x:v>60</x:v>
      </x:c>
      <x:c r="J4" s="20" t="str">
        <x:v>1.2</x:v>
      </x:c>
      <x:c r="K4" s="20" t="n">
        <x:v>1.2</x:v>
      </x:c>
      <x:c r="L4" s="20" t="str">
        <x:v>1.0</x:v>
      </x:c>
      <x:c r="M4" s="20" t="str">
        <x:v>N/A</x:v>
      </x:c>
      <x:c r="N4" s="20" t="str">
        <x:v>1,766</x:v>
      </x:c>
      <x:c r="O4" s="20"/>
      <x:c r="P4" s="20" t="str">
        <x:v>202</x:v>
      </x:c>
      <x:c r="Q4" s="20" t="str">
        <x:v>See damage/effect note</x:v>
      </x:c>
      <x:c r="R4" s="20" t="str">
        <x:v>Melee / no projectile</x:v>
      </x:c>
      <x:c r="S4" s="20" t="str">
        <x:v>—</x:v>
      </x:c>
      <x:c r="T4" s="20" t="n">
        <x:v>6</x:v>
      </x:c>
      <x:c r="U4" s="20" t="n">
        <x:v>0.5</x:v>
      </x:c>
      <x:c r="V4" s="20" t="n">
        <x:v>5.5</x:v>
      </x:c>
      <x:c r="W4" s="20" t="str">
        <x:v>Low-cost mini-tank; no projectile.</x:v>
      </x:c>
      <x:c r="X4" s="28" t="str">
        <x:v>Level 11 public stats included where verified; hidden fields (mass/collision/sight/projectile/splash) cross-checked against AesDragon hidden-stat tables. N/A means not applicable.</x:v>
      </x:c>
      <x:c r="Y4" s="28" t="str">
        <x:v>https://www.deckshop.pro/card/stats
https://www.deckshop.pro/card/hitpoints
https://deckmelon.com/cards/knight
https://clashroyale.fandom.com/wiki/Knight</x:v>
      </x:c>
      <x:c r="Z4" s="28" t="str">
        <x:v>https://clashroyale.fandom.com/wiki/User_blog:AesDragon/Hidden_card_stats:_Mass
https://clashroyale.fandom.com/wiki/User_blog:AesDragon/Hidden_card_stats:_Collision_radius
https://clashroyale.fandom.com/wiki/User_blog:AesDragon/Hidden_card_stats:_Sight_range
https://clashroyale.fandom.com/wiki/User_blog:AesDragon/Hidden_card_stats:_Projectile_travel_speeds
https://clashroyale.fandom.com/wiki/User_blog:AesDragon/Hidden_card_stats:_Area_damage_radius</x:v>
      </x:c>
      <x:c r="AA4" s="28" t="str">
        <x:v>https://github.com/smlbiobot/cr-csv/blob/master/assets/csv_logic/characters.csv
https://github.com/smlbiobot/cr-csv/blob/master/assets/csv_logic/projectiles.csv</x:v>
      </x:c>
      <x:c r="AB4" s="28" t="str">
        <x:v>Current L11 from Deckmelon/Deck Shop; mini-tank melee.</x:v>
      </x:c>
      <x:c r="AC4" t="str">
        <x:v>N/A</x:v>
      </x:c>
      <x:c r="AD4" t="str">
        <x:v>Single-target / no splash or AoE</x:v>
      </x:c>
    </x:row>
    <x:row r="5" ht="36" customHeight="1">
      <x:c r="A5" s="24" t="n">
        <x:v>4</x:v>
      </x:c>
      <x:c r="B5" s="22" t="str">
        <x:v>Spear Goblins</x:v>
      </x:c>
      <x:c r="C5" s="22" t="str">
        <x:v>Troop</x:v>
      </x:c>
      <x:c r="D5" s="22" t="str">
        <x:v>Common</x:v>
      </x:c>
      <x:c r="E5" s="24" t="n">
        <x:v>2</x:v>
      </x:c>
      <x:c r="F5" s="20" t="str">
        <x:v>3</x:v>
      </x:c>
      <x:c r="G5" s="20" t="str">
        <x:v>Air &amp; ground</x:v>
      </x:c>
      <x:c r="H5" s="20" t="str">
        <x:v>Very Fast</x:v>
      </x:c>
      <x:c r="I5" s="26" t="n">
        <x:v>120</x:v>
      </x:c>
      <x:c r="J5" s="20" t="str">
        <x:v>5.0</x:v>
      </x:c>
      <x:c r="K5" s="20" t="n">
        <x:v>1.7</x:v>
      </x:c>
      <x:c r="L5" s="20" t="str">
        <x:v>1.0</x:v>
      </x:c>
      <x:c r="M5" s="20" t="str">
        <x:v>N/A</x:v>
      </x:c>
      <x:c r="N5" s="20" t="str">
        <x:v>133</x:v>
      </x:c>
      <x:c r="O5" s="20"/>
      <x:c r="P5" s="20" t="str">
        <x:v>81 per Spear Goblin</x:v>
      </x:c>
      <x:c r="Q5" s="20" t="str">
        <x:v>See damage/effect note</x:v>
      </x:c>
      <x:c r="R5" s="20" t="str">
        <x:v>SpearGoblinProjectile</x:v>
      </x:c>
      <x:c r="S5" s="20" t="str">
        <x:v>500 attack</x:v>
      </x:c>
      <x:c r="T5" s="20" t="n">
        <x:v>1</x:v>
      </x:c>
      <x:c r="U5" s="20" t="n">
        <x:v>0.5</x:v>
      </x:c>
      <x:c r="V5" s="20" t="n">
        <x:v>5.5</x:v>
      </x:c>
      <x:c r="W5" s="20" t="str">
        <x:v>Three very-fast ranged goblins; fragile chip and air coverage.</x:v>
      </x:c>
      <x:c r="X5" s="28" t="str">
        <x:v>Level 11 public stats included where verified; hidden fields (mass/collision/sight/projectile/splash) cross-checked against AesDragon hidden-stat tables. N/A means not applicable.</x:v>
      </x:c>
      <x:c r="Y5" s="28" t="str">
        <x:v>https://www.deckshop.pro/card/stats
https://www.deckshop.pro/card/hitpoints
https://deckmelon.com/cards/spear-goblins
https://clashroyale.fandom.com/wiki/Spear_Goblins</x:v>
      </x:c>
      <x:c r="Z5" s="28" t="str">
        <x:v>https://clashroyale.fandom.com/wiki/User_blog:AesDragon/Hidden_card_stats:_Mass
https://clashroyale.fandom.com/wiki/User_blog:AesDragon/Hidden_card_stats:_Collision_radius
https://clashroyale.fandom.com/wiki/User_blog:AesDragon/Hidden_card_stats:_Sight_range
https://clashroyale.fandom.com/wiki/User_blog:AesDragon/Hidden_card_stats:_Projectile_travel_speeds
https://clashroyale.fandom.com/wiki/User_blog:AesDragon/Hidden_card_stats:_Area_damage_radius</x:v>
      </x:c>
      <x:c r="AA5" s="28" t="str">
        <x:v>https://github.com/smlbiobot/cr-csv/blob/master/assets/csv_logic/characters.csv
https://github.com/smlbiobot/cr-csv/blob/master/assets/csv_logic/projectiles.csv</x:v>
      </x:c>
      <x:c r="AB5" s="28" t="str">
        <x:v>Current L11 from Deckmelon.</x:v>
      </x:c>
      <x:c r="AC5" t="str">
        <x:v>N/A</x:v>
      </x:c>
      <x:c r="AD5" t="str">
        <x:v>Single-target / no splash or AoE</x:v>
      </x:c>
    </x:row>
    <x:row r="6" ht="36" customHeight="1">
      <x:c r="A6" s="24" t="n">
        <x:v>5</x:v>
      </x:c>
      <x:c r="B6" s="22" t="str">
        <x:v>Goblins</x:v>
      </x:c>
      <x:c r="C6" s="22" t="str">
        <x:v>Troop</x:v>
      </x:c>
      <x:c r="D6" s="22" t="str">
        <x:v>Common</x:v>
      </x:c>
      <x:c r="E6" s="24" t="n">
        <x:v>2</x:v>
      </x:c>
      <x:c r="F6" s="20" t="str">
        <x:v>4</x:v>
      </x:c>
      <x:c r="G6" s="20" t="str">
        <x:v>Ground</x:v>
      </x:c>
      <x:c r="H6" s="20" t="str">
        <x:v>Very Fast</x:v>
      </x:c>
      <x:c r="I6" s="26" t="n">
        <x:v>120</x:v>
      </x:c>
      <x:c r="J6" s="20" t="str">
        <x:v>0.5</x:v>
      </x:c>
      <x:c r="K6" s="20" t="n">
        <x:v>1.1</x:v>
      </x:c>
      <x:c r="L6" s="20" t="str">
        <x:v>1.0</x:v>
      </x:c>
      <x:c r="M6" s="20" t="str">
        <x:v>N/A</x:v>
      </x:c>
      <x:c r="N6" s="20" t="str">
        <x:v>202</x:v>
      </x:c>
      <x:c r="O6" s="20"/>
      <x:c r="P6" s="20" t="str">
        <x:v>120 per Goblin</x:v>
      </x:c>
      <x:c r="Q6" s="20" t="str">
        <x:v>See damage/effect note</x:v>
      </x:c>
      <x:c r="R6" s="20" t="str">
        <x:v>Melee / no projectile</x:v>
      </x:c>
      <x:c r="S6" s="20" t="str">
        <x:v>—</x:v>
      </x:c>
      <x:c r="T6" s="20" t="n">
        <x:v>2</x:v>
      </x:c>
      <x:c r="U6" s="20" t="n">
        <x:v>0.5</x:v>
      </x:c>
      <x:c r="V6" s="20" t="n">
        <x:v>5.5</x:v>
      </x:c>
      <x:c r="W6" s="20" t="str">
        <x:v>Four very-fast melee goblins; high DPS per elixir.</x:v>
      </x:c>
      <x:c r="X6" s="28" t="str">
        <x:v>Level 11 public stats included where verified; hidden fields (mass/collision/sight/projectile/splash) cross-checked against AesDragon hidden-stat tables. N/A means not applicable.</x:v>
      </x:c>
      <x:c r="Y6" s="28" t="str">
        <x:v>https://www.deckshop.pro/card/stats
https://www.deckshop.pro/card/hitpoints
https://deckmelon.com/cards/goblins
https://clashroyale.fandom.com/wiki/Goblins</x:v>
      </x:c>
      <x:c r="Z6" s="28" t="str">
        <x:v>https://clashroyale.fandom.com/wiki/User_blog:AesDragon/Hidden_card_stats:_Mass
https://clashroyale.fandom.com/wiki/User_blog:AesDragon/Hidden_card_stats:_Collision_radius
https://clashroyale.fandom.com/wiki/User_blog:AesDragon/Hidden_card_stats:_Sight_range
https://clashroyale.fandom.com/wiki/User_blog:AesDragon/Hidden_card_stats:_Projectile_travel_speeds
https://clashroyale.fandom.com/wiki/User_blog:AesDragon/Hidden_card_stats:_Area_damage_radius</x:v>
      </x:c>
      <x:c r="AA6" s="28" t="str">
        <x:v>https://github.com/smlbiobot/cr-csv/blob/master/assets/csv_logic/characters.csv
https://github.com/smlbiobot/cr-csv/blob/master/assets/csv_logic/projectiles.csv</x:v>
      </x:c>
      <x:c r="AB6" s="28" t="str">
        <x:v>Current L11 from Deck Shop; melee swarm.</x:v>
      </x:c>
      <x:c r="AC6" t="str">
        <x:v>N/A</x:v>
      </x:c>
      <x:c r="AD6" t="str">
        <x:v>Single-target / no splash or AoE</x:v>
      </x:c>
    </x:row>
    <x:row r="7" ht="36" customHeight="1">
      <x:c r="A7" s="24" t="n">
        <x:v>6</x:v>
      </x:c>
      <x:c r="B7" s="22" t="str">
        <x:v>Bomber</x:v>
      </x:c>
      <x:c r="C7" s="22" t="str">
        <x:v>Troop</x:v>
      </x:c>
      <x:c r="D7" s="22" t="str">
        <x:v>Common</x:v>
      </x:c>
      <x:c r="E7" s="24" t="n">
        <x:v>2</x:v>
      </x:c>
      <x:c r="F7" s="20" t="str">
        <x:v>1</x:v>
      </x:c>
      <x:c r="G7" s="20" t="str">
        <x:v>Ground</x:v>
      </x:c>
      <x:c r="H7" s="20" t="str">
        <x:v>Medium</x:v>
      </x:c>
      <x:c r="I7" s="26" t="n">
        <x:v>60</x:v>
      </x:c>
      <x:c r="J7" s="20" t="str">
        <x:v>4.5</x:v>
      </x:c>
      <x:c r="K7" s="20" t="n">
        <x:v>1.8</x:v>
      </x:c>
      <x:c r="L7" s="20" t="str">
        <x:v>1.0</x:v>
      </x:c>
      <x:c r="M7" s="20" t="str">
        <x:v>N/A</x:v>
      </x:c>
      <x:c r="N7" s="20" t="str">
        <x:v>304</x:v>
      </x:c>
      <x:c r="O7" s="20"/>
      <x:c r="P7" s="20" t="str">
        <x:v>225 area</x:v>
      </x:c>
      <x:c r="Q7" s="20" t="str">
        <x:v>See damage/effect note</x:v>
      </x:c>
      <x:c r="R7" s="20" t="str">
        <x:v>BombSkeletonProjectile</x:v>
      </x:c>
      <x:c r="S7" s="20" t="str">
        <x:v>400 attack</x:v>
      </x:c>
      <x:c r="T7" s="20" t="n">
        <x:v>4</x:v>
      </x:c>
      <x:c r="U7" s="20" t="n">
        <x:v>0.5</x:v>
      </x:c>
      <x:c r="V7" s="20" t="n">
        <x:v>5.5</x:v>
      </x:c>
      <x:c r="W7" s="20" t="str">
        <x:v>Ground-only splash projectile; cannot hit air.</x:v>
      </x:c>
      <x:c r="X7" s="28" t="str">
        <x:v>Level 11 public stats included where verified; hidden fields (mass/collision/sight/projectile/splash) cross-checked against AesDragon hidden-stat tables. N/A means not applicable.</x:v>
      </x:c>
      <x:c r="Y7" s="28" t="str">
        <x:v>https://www.deckshop.pro/card/stats
https://www.deckshop.pro/card/hitpoints
https://deckmelon.com/cards/bomber
https://clashroyale.fandom.com/wiki/Bomber</x:v>
      </x:c>
      <x:c r="Z7" s="28" t="str">
        <x:v>https://clashroyale.fandom.com/wiki/User_blog:AesDragon/Hidden_card_stats:_Mass
https://clashroyale.fandom.com/wiki/User_blog:AesDragon/Hidden_card_stats:_Collision_radius
https://clashroyale.fandom.com/wiki/User_blog:AesDragon/Hidden_card_stats:_Sight_range
https://clashroyale.fandom.com/wiki/User_blog:AesDragon/Hidden_card_stats:_Projectile_travel_speeds
https://clashroyale.fandom.com/wiki/User_blog:AesDragon/Hidden_card_stats:_Area_damage_radius</x:v>
      </x:c>
      <x:c r="AA7" s="28" t="str">
        <x:v>https://github.com/smlbiobot/cr-csv/blob/master/assets/csv_logic/characters.csv
https://github.com/smlbiobot/cr-csv/blob/master/assets/csv_logic/projectiles.csv</x:v>
      </x:c>
      <x:c r="AB7" s="28" t="str">
        <x:v>Current L11 from Deck Shop; ground splash.</x:v>
      </x:c>
      <x:c r="AC7" t="str">
        <x:v>1.5</x:v>
      </x:c>
      <x:c r="AD7" t="str">
        <x:v>Non-homing ground splash</x:v>
      </x:c>
    </x:row>
    <x:row r="8" ht="36" customHeight="1">
      <x:c r="A8" s="24" t="n">
        <x:v>7</x:v>
      </x:c>
      <x:c r="B8" s="22" t="str">
        <x:v>Skeletons</x:v>
      </x:c>
      <x:c r="C8" s="22" t="str">
        <x:v>Troop</x:v>
      </x:c>
      <x:c r="D8" s="22" t="str">
        <x:v>Common</x:v>
      </x:c>
      <x:c r="E8" s="24" t="n">
        <x:v>1</x:v>
      </x:c>
      <x:c r="F8" s="20" t="str">
        <x:v>3</x:v>
      </x:c>
      <x:c r="G8" s="20" t="str">
        <x:v>Ground</x:v>
      </x:c>
      <x:c r="H8" s="20" t="str">
        <x:v>Fast</x:v>
      </x:c>
      <x:c r="I8" s="26" t="n">
        <x:v>90</x:v>
      </x:c>
      <x:c r="J8" s="20" t="str">
        <x:v>0.5</x:v>
      </x:c>
      <x:c r="K8" s="20" t="n">
        <x:v>1</x:v>
      </x:c>
      <x:c r="L8" s="20" t="str">
        <x:v>1.0</x:v>
      </x:c>
      <x:c r="M8" s="20" t="str">
        <x:v>N/A</x:v>
      </x:c>
      <x:c r="N8" s="20" t="str">
        <x:v>81</x:v>
      </x:c>
      <x:c r="O8" s="20"/>
      <x:c r="P8" s="20" t="str">
        <x:v>81 per Skeleton</x:v>
      </x:c>
      <x:c r="Q8" s="20" t="str">
        <x:v>See damage/effect note</x:v>
      </x:c>
      <x:c r="R8" s="20" t="str">
        <x:v>Melee / no projectile</x:v>
      </x:c>
      <x:c r="S8" s="20" t="str">
        <x:v>—</x:v>
      </x:c>
      <x:c r="T8" s="20" t="n">
        <x:v>1</x:v>
      </x:c>
      <x:c r="U8" s="20" t="n">
        <x:v>0.5</x:v>
      </x:c>
      <x:c r="V8" s="20" t="n">
        <x:v>5.5</x:v>
      </x:c>
      <x:c r="W8" s="20" t="str">
        <x:v>Three 1-elixir skeletons; cycle/distraction card.</x:v>
      </x:c>
      <x:c r="X8" s="28" t="str">
        <x:v>Level 11 public stats included where verified; hidden fields (mass/collision/sight/projectile/splash) cross-checked against AesDragon hidden-stat tables. N/A means not applicable.</x:v>
      </x:c>
      <x:c r="Y8" s="28" t="str">
        <x:v>https://www.deckshop.pro/card/stats
https://www.deckshop.pro/card/hitpoints
https://deckmelon.com/cards/skeletons
https://clashroyale.fandom.com/wiki/Skeletons</x:v>
      </x:c>
      <x:c r="Z8" s="28" t="str">
        <x:v>https://clashroyale.fandom.com/wiki/User_blog:AesDragon/Hidden_card_stats:_Mass
https://clashroyale.fandom.com/wiki/User_blog:AesDragon/Hidden_card_stats:_Collision_radius
https://clashroyale.fandom.com/wiki/User_blog:AesDragon/Hidden_card_stats:_Sight_range
https://clashroyale.fandom.com/wiki/User_blog:AesDragon/Hidden_card_stats:_Projectile_travel_speeds
https://clashroyale.fandom.com/wiki/User_blog:AesDragon/Hidden_card_stats:_Area_damage_radius</x:v>
      </x:c>
      <x:c r="AA8" s="28" t="str">
        <x:v>https://github.com/smlbiobot/cr-csv/blob/master/assets/csv_logic/characters.csv
https://github.com/smlbiobot/cr-csv/blob/master/assets/csv_logic/projectiles.csv</x:v>
      </x:c>
      <x:c r="AB8" s="28" t="str">
        <x:v>Current L11 from Deck Shop; cheap swarm.</x:v>
      </x:c>
      <x:c r="AC8" t="str">
        <x:v>N/A</x:v>
      </x:c>
      <x:c r="AD8" t="str">
        <x:v>Single-target / no splash or AoE</x:v>
      </x:c>
    </x:row>
    <x:row r="9" ht="36" customHeight="1">
      <x:c r="A9" s="24" t="n">
        <x:v>8</x:v>
      </x:c>
      <x:c r="B9" s="22" t="str">
        <x:v>Barbarians</x:v>
      </x:c>
      <x:c r="C9" s="22" t="str">
        <x:v>Troop</x:v>
      </x:c>
      <x:c r="D9" s="22" t="str">
        <x:v>Common</x:v>
      </x:c>
      <x:c r="E9" s="24" t="n">
        <x:v>5</x:v>
      </x:c>
      <x:c r="F9" s="20" t="str">
        <x:v>5</x:v>
      </x:c>
      <x:c r="G9" s="20" t="str">
        <x:v>Ground</x:v>
      </x:c>
      <x:c r="H9" s="20" t="str">
        <x:v>Medium</x:v>
      </x:c>
      <x:c r="I9" s="26" t="n">
        <x:v>60</x:v>
      </x:c>
      <x:c r="J9" s="20" t="str">
        <x:v>0.7</x:v>
      </x:c>
      <x:c r="K9" s="20" t="n">
        <x:v>1.4</x:v>
      </x:c>
      <x:c r="L9" s="20" t="str">
        <x:v>1.0</x:v>
      </x:c>
      <x:c r="M9" s="20" t="str">
        <x:v>N/A</x:v>
      </x:c>
      <x:c r="N9" s="20" t="str">
        <x:v>670</x:v>
      </x:c>
      <x:c r="O9" s="20"/>
      <x:c r="P9" s="20" t="str">
        <x:v>192 per Barbarian</x:v>
      </x:c>
      <x:c r="Q9" s="20" t="str">
        <x:v>See damage/effect note</x:v>
      </x:c>
      <x:c r="R9" s="20" t="str">
        <x:v>Melee / no projectile</x:v>
      </x:c>
      <x:c r="S9" s="20" t="str">
        <x:v>—</x:v>
      </x:c>
      <x:c r="T9" s="20" t="n">
        <x:v>4</x:v>
      </x:c>
      <x:c r="U9" s="20" t="n">
        <x:v>0.5</x:v>
      </x:c>
      <x:c r="V9" s="20" t="n">
        <x:v>5.5</x:v>
      </x:c>
      <x:c r="W9" s="20" t="str">
        <x:v>Five melee units; strong ground DPS but spell-vulnerable.</x:v>
      </x:c>
      <x:c r="X9" s="28" t="str">
        <x:v>Level 11 public stats included where verified; hidden fields (mass/collision/sight/projectile/splash) cross-checked against AesDragon hidden-stat tables. N/A means not applicable.</x:v>
      </x:c>
      <x:c r="Y9" s="28" t="str">
        <x:v>https://www.deckshop.pro/card/stats
https://www.deckshop.pro/card/hitpoints
https://deckmelon.com/cards/barbarians
https://clashroyale.fandom.com/wiki/Barbarians</x:v>
      </x:c>
      <x:c r="Z9" s="28" t="str">
        <x:v>https://clashroyale.fandom.com/wiki/User_blog:AesDragon/Hidden_card_stats:_Mass
https://clashroyale.fandom.com/wiki/User_blog:AesDragon/Hidden_card_stats:_Collision_radius
https://clashroyale.fandom.com/wiki/User_blog:AesDragon/Hidden_card_stats:_Sight_range
https://clashroyale.fandom.com/wiki/User_blog:AesDragon/Hidden_card_stats:_Projectile_travel_speeds
https://clashroyale.fandom.com/wiki/User_blog:AesDragon/Hidden_card_stats:_Area_damage_radius</x:v>
      </x:c>
      <x:c r="AA9" s="28" t="str">
        <x:v>https://github.com/smlbiobot/cr-csv/blob/master/assets/csv_logic/characters.csv
https://github.com/smlbiobot/cr-csv/blob/master/assets/csv_logic/projectiles.csv</x:v>
      </x:c>
      <x:c r="AB9" s="28" t="str">
        <x:v>Current L11 via Barbarian Hut/Barbarians source; 5 units.</x:v>
      </x:c>
      <x:c r="AC9" t="str">
        <x:v>N/A</x:v>
      </x:c>
      <x:c r="AD9" t="str">
        <x:v>Single-target / no splash or AoE</x:v>
      </x:c>
    </x:row>
    <x:row r="10" ht="36" customHeight="1">
      <x:c r="A10" s="24" t="n">
        <x:v>9</x:v>
      </x:c>
      <x:c r="B10" s="22" t="str">
        <x:v>Fire Spirit</x:v>
      </x:c>
      <x:c r="C10" s="22" t="str">
        <x:v>Troop</x:v>
      </x:c>
      <x:c r="D10" s="22" t="str">
        <x:v>Common</x:v>
      </x:c>
      <x:c r="E10" s="24" t="n">
        <x:v>1</x:v>
      </x:c>
      <x:c r="F10" s="20" t="str">
        <x:v>1</x:v>
      </x:c>
      <x:c r="G10" s="20" t="str">
        <x:v>Air &amp; ground</x:v>
      </x:c>
      <x:c r="H10" s="20" t="str">
        <x:v>Very Fast</x:v>
      </x:c>
      <x:c r="I10" s="26" t="n">
        <x:v>120</x:v>
      </x:c>
      <x:c r="J10" s="20" t="str">
        <x:v>2.5</x:v>
      </x:c>
      <x:c r="K10" s="20" t="str">
        <x:v>Kamikaze</x:v>
      </x:c>
      <x:c r="L10" s="20" t="str">
        <x:v>1.0</x:v>
      </x:c>
      <x:c r="M10" s="20" t="str">
        <x:v>N/A</x:v>
      </x:c>
      <x:c r="N10" s="20" t="str">
        <x:v>230</x:v>
      </x:c>
      <x:c r="O10" s="20"/>
      <x:c r="P10" s="20" t="str">
        <x:v>207 area</x:v>
      </x:c>
      <x:c r="Q10" s="20" t="str">
        <x:v>See damage/effect note</x:v>
      </x:c>
      <x:c r="R10" s="20" t="str">
        <x:v>Attack projectile</x:v>
      </x:c>
      <x:c r="S10" s="20" t="str">
        <x:v>400 attack</x:v>
      </x:c>
      <x:c r="T10" s="20" t="n">
        <x:v>1</x:v>
      </x:c>
      <x:c r="U10" s="20" t="n">
        <x:v>0.4</x:v>
      </x:c>
      <x:c r="V10" s="20" t="n">
        <x:v>5.5</x:v>
      </x:c>
      <x:c r="W10" s="20" t="str">
        <x:v>Jumps, self-destructs, area damage, can hit air.</x:v>
      </x:c>
      <x:c r="X10" s="28" t="str">
        <x:v>Level 11 public stats included where verified; hidden fields (mass/collision/sight/projectile/splash) cross-checked against AesDragon hidden-stat tables. N/A means not applicable.</x:v>
      </x:c>
      <x:c r="Y10" s="28" t="str">
        <x:v>https://www.deckshop.pro/card/stats
https://www.deckshop.pro/card/hitpoints
https://deckmelon.com/cards/fire-spirit
https://clashroyale.fandom.com/wiki/Fire_Spirit</x:v>
      </x:c>
      <x:c r="Z10" s="28" t="str">
        <x:v>https://clashroyale.fandom.com/wiki/User_blog:AesDragon/Hidden_card_stats:_Mass
https://clashroyale.fandom.com/wiki/User_blog:AesDragon/Hidden_card_stats:_Collision_radius
https://clashroyale.fandom.com/wiki/User_blog:AesDragon/Hidden_card_stats:_Sight_range
https://clashroyale.fandom.com/wiki/User_blog:AesDragon/Hidden_card_stats:_Projectile_travel_speeds
https://clashroyale.fandom.com/wiki/User_blog:AesDragon/Hidden_card_stats:_Area_damage_radius</x:v>
      </x:c>
      <x:c r="AA10" s="28" t="str">
        <x:v>https://github.com/smlbiobot/cr-csv/blob/master/assets/csv_logic/characters.csv
https://github.com/smlbiobot/cr-csv/blob/master/assets/csv_logic/projectiles.csv</x:v>
      </x:c>
      <x:c r="AB10" s="28" t="str">
        <x:v>Current L11 from Deck Shop/Furnace source; jump/splash.</x:v>
      </x:c>
      <x:c r="AC10" t="str">
        <x:v>1.7</x:v>
      </x:c>
      <x:c r="AD10" t="str">
        <x:v>Homing explosion</x:v>
      </x:c>
    </x:row>
    <x:row r="11" ht="36" customHeight="1">
      <x:c r="A11" s="24" t="n">
        <x:v>10</x:v>
      </x:c>
      <x:c r="B11" s="22" t="str">
        <x:v>Bats</x:v>
      </x:c>
      <x:c r="C11" s="22" t="str">
        <x:v>Troop</x:v>
      </x:c>
      <x:c r="D11" s="22" t="str">
        <x:v>Common</x:v>
      </x:c>
      <x:c r="E11" s="24" t="n">
        <x:v>2</x:v>
      </x:c>
      <x:c r="F11" s="20" t="str">
        <x:v>5</x:v>
      </x:c>
      <x:c r="G11" s="20" t="str">
        <x:v>Air &amp; ground</x:v>
      </x:c>
      <x:c r="H11" s="20" t="str">
        <x:v>Very Fast</x:v>
      </x:c>
      <x:c r="I11" s="26" t="n">
        <x:v>120</x:v>
      </x:c>
      <x:c r="J11" s="20" t="str">
        <x:v>1.2</x:v>
      </x:c>
      <x:c r="K11" s="20" t="n">
        <x:v>1.3</x:v>
      </x:c>
      <x:c r="L11" s="20" t="str">
        <x:v>1.0</x:v>
      </x:c>
      <x:c r="M11" s="20" t="str">
        <x:v>N/A</x:v>
      </x:c>
      <x:c r="N11" s="20" t="str">
        <x:v>81</x:v>
      </x:c>
      <x:c r="O11" s="20"/>
      <x:c r="P11" s="20" t="str">
        <x:v>81 per Bat</x:v>
      </x:c>
      <x:c r="Q11" s="20" t="str">
        <x:v>See damage/effect note</x:v>
      </x:c>
      <x:c r="R11" s="20" t="str">
        <x:v>Melee / no projectile</x:v>
      </x:c>
      <x:c r="S11" s="20" t="str">
        <x:v>—</x:v>
      </x:c>
      <x:c r="T11" s="20" t="n">
        <x:v>1</x:v>
      </x:c>
      <x:c r="U11" s="20" t="n">
        <x:v>0.5</x:v>
      </x:c>
      <x:c r="V11" s="20" t="n">
        <x:v>5.5</x:v>
      </x:c>
      <x:c r="W11" s="20" t="str">
        <x:v>Five flying melee swarm units; very fragile.</x:v>
      </x:c>
      <x:c r="X11" s="28" t="str">
        <x:v>Level 11 public stats included where verified; hidden fields (mass/collision/sight/projectile/splash) cross-checked against AesDragon hidden-stat tables. N/A means not applicable.</x:v>
      </x:c>
      <x:c r="Y11" s="28" t="str">
        <x:v>https://www.deckshop.pro/card/stats
https://www.deckshop.pro/card/hitpoints
https://deckmelon.com/cards/bats
https://clashroyale.fandom.com/wiki/Bats</x:v>
      </x:c>
      <x:c r="Z11" s="28" t="str">
        <x:v>https://clashroyale.fandom.com/wiki/User_blog:AesDragon/Hidden_card_stats:_Mass
https://clashroyale.fandom.com/wiki/User_blog:AesDragon/Hidden_card_stats:_Collision_radius
https://clashroyale.fandom.com/wiki/User_blog:AesDragon/Hidden_card_stats:_Sight_range
https://clashroyale.fandom.com/wiki/User_blog:AesDragon/Hidden_card_stats:_Projectile_travel_speeds
https://clashroyale.fandom.com/wiki/User_blog:AesDragon/Hidden_card_stats:_Area_damage_radius</x:v>
      </x:c>
      <x:c r="AA11" s="28" t="str">
        <x:v>https://github.com/smlbiobot/cr-csv/blob/master/assets/csv_logic/characters.csv
https://github.com/smlbiobot/cr-csv/blob/master/assets/csv_logic/projectiles.csv</x:v>
      </x:c>
      <x:c r="AB11" s="28" t="str">
        <x:v>Current L11 from Deckmelon.</x:v>
      </x:c>
      <x:c r="AC11" t="str">
        <x:v>N/A</x:v>
      </x:c>
      <x:c r="AD11" t="str">
        <x:v>Single-target / no splash or AoE</x:v>
      </x:c>
    </x:row>
    <x:row r="12" ht="36" customHeight="1">
      <x:c r="A12" s="24" t="n">
        <x:v>11</x:v>
      </x:c>
      <x:c r="B12" s="22" t="str">
        <x:v>Royal Giant</x:v>
      </x:c>
      <x:c r="C12" s="22" t="str">
        <x:v>Troop</x:v>
      </x:c>
      <x:c r="D12" s="22" t="str">
        <x:v>Common</x:v>
      </x:c>
      <x:c r="E12" s="24" t="n">
        <x:v>6</x:v>
      </x:c>
      <x:c r="F12" s="20" t="str">
        <x:v>1</x:v>
      </x:c>
      <x:c r="G12" s="20" t="str">
        <x:v>Buildings</x:v>
      </x:c>
      <x:c r="H12" s="20" t="str">
        <x:v>Slow</x:v>
      </x:c>
      <x:c r="I12" s="26" t="n">
        <x:v>45</x:v>
      </x:c>
      <x:c r="J12" s="20" t="str">
        <x:v>5.0</x:v>
      </x:c>
      <x:c r="K12" s="20" t="n">
        <x:v>1.7</x:v>
      </x:c>
      <x:c r="L12" s="20" t="str">
        <x:v>1.0</x:v>
      </x:c>
      <x:c r="M12" s="20" t="str">
        <x:v>N/A</x:v>
      </x:c>
      <x:c r="N12" s="20" t="str">
        <x:v>3,164</x:v>
      </x:c>
      <x:c r="O12" s="20"/>
      <x:c r="P12" s="20" t="str">
        <x:v>307</x:v>
      </x:c>
      <x:c r="Q12" s="20" t="str">
        <x:v>See damage/effect note</x:v>
      </x:c>
      <x:c r="R12" s="20" t="str">
        <x:v>RoyalGiantProjectile</x:v>
      </x:c>
      <x:c r="S12" s="20" t="str">
        <x:v>1000 attack</x:v>
      </x:c>
      <x:c r="T12" s="20" t="n">
        <x:v>18</x:v>
      </x:c>
      <x:c r="U12" s="20" t="n">
        <x:v>0.75</x:v>
      </x:c>
      <x:c r="V12" s="20" t="n">
        <x:v>7.5</x:v>
      </x:c>
      <x:c r="W12" s="20" t="str">
        <x:v>Ranged building-targeting win condition.</x:v>
      </x:c>
      <x:c r="X12" s="28" t="str">
        <x:v>Level 11 public stats included where verified; hidden fields (mass/collision/sight/projectile/splash) cross-checked against AesDragon hidden-stat tables. N/A means not applicable.</x:v>
      </x:c>
      <x:c r="Y12" s="28" t="str">
        <x:v>https://www.deckshop.pro/card/stats
https://www.deckshop.pro/card/hitpoints
https://deckmelon.com/cards/royal-giant
https://clashroyale.fandom.com/wiki/Royal_Giant</x:v>
      </x:c>
      <x:c r="Z12" s="28" t="str">
        <x:v>https://clashroyale.fandom.com/wiki/User_blog:AesDragon/Hidden_card_stats:_Mass
https://clashroyale.fandom.com/wiki/User_blog:AesDragon/Hidden_card_stats:_Collision_radius
https://clashroyale.fandom.com/wiki/User_blog:AesDragon/Hidden_card_stats:_Sight_range
https://clashroyale.fandom.com/wiki/User_blog:AesDragon/Hidden_card_stats:_Projectile_travel_speeds
https://clashroyale.fandom.com/wiki/User_blog:AesDragon/Hidden_card_stats:_Area_damage_radius</x:v>
      </x:c>
      <x:c r="AA12" s="28" t="str">
        <x:v>https://github.com/smlbiobot/cr-csv/blob/master/assets/csv_logic/characters.csv
https://github.com/smlbiobot/cr-csv/blob/master/assets/csv_logic/projectiles.csv</x:v>
      </x:c>
      <x:c r="AB12" s="28" t="str">
        <x:v>Current L11 from Deckmelon/Deck Shop.</x:v>
      </x:c>
      <x:c r="AC12" t="str">
        <x:v>N/A</x:v>
      </x:c>
      <x:c r="AD12" t="str">
        <x:v>Single-target / no splash or AoE</x:v>
      </x:c>
    </x:row>
    <x:row r="13" ht="36" customHeight="1">
      <x:c r="A13" s="24" t="n">
        <x:v>12</x:v>
      </x:c>
      <x:c r="B13" s="22" t="str">
        <x:v>Ice Spirit</x:v>
      </x:c>
      <x:c r="C13" s="22" t="str">
        <x:v>Troop</x:v>
      </x:c>
      <x:c r="D13" s="22" t="str">
        <x:v>Common</x:v>
      </x:c>
      <x:c r="E13" s="24" t="n">
        <x:v>1</x:v>
      </x:c>
      <x:c r="F13" s="20" t="str">
        <x:v>1</x:v>
      </x:c>
      <x:c r="G13" s="20" t="str">
        <x:v>Air &amp; ground</x:v>
      </x:c>
      <x:c r="H13" s="20" t="str">
        <x:v>Very Fast</x:v>
      </x:c>
      <x:c r="I13" s="26" t="n">
        <x:v>120</x:v>
      </x:c>
      <x:c r="J13" s="20" t="str">
        <x:v>2.5</x:v>
      </x:c>
      <x:c r="K13" s="20" t="str">
        <x:v>Kamikaze</x:v>
      </x:c>
      <x:c r="L13" s="20" t="str">
        <x:v>1.0</x:v>
      </x:c>
      <x:c r="M13" s="20" t="str">
        <x:v>N/A</x:v>
      </x:c>
      <x:c r="N13" s="20" t="str">
        <x:v>230</x:v>
      </x:c>
      <x:c r="O13" s="20"/>
      <x:c r="P13" s="20" t="str">
        <x:v>110 area + freeze</x:v>
      </x:c>
      <x:c r="Q13" s="20" t="str">
        <x:v>See damage/effect note</x:v>
      </x:c>
      <x:c r="R13" s="20" t="str">
        <x:v>Attack projectile</x:v>
      </x:c>
      <x:c r="S13" s="20" t="str">
        <x:v>400 attack</x:v>
      </x:c>
      <x:c r="T13" s="20" t="n">
        <x:v>1</x:v>
      </x:c>
      <x:c r="U13" s="20" t="n">
        <x:v>0.4</x:v>
      </x:c>
      <x:c r="V13" s="20" t="n">
        <x:v>5.5</x:v>
      </x:c>
      <x:c r="W13" s="20" t="str">
        <x:v>Jumps, self-destructs, freezes/stuns in small area.</x:v>
      </x:c>
      <x:c r="X13" s="28" t="str">
        <x:v>Level 11 public stats included where verified; hidden fields (mass/collision/sight/projectile/splash) cross-checked against AesDragon hidden-stat tables. N/A means not applicable.</x:v>
      </x:c>
      <x:c r="Y13" s="28" t="str">
        <x:v>https://www.deckshop.pro/card/stats
https://www.deckshop.pro/card/hitpoints
https://deckmelon.com/cards/ice-spirit
https://clashroyale.fandom.com/wiki/Ice_Spirit</x:v>
      </x:c>
      <x:c r="Z13" s="28" t="str">
        <x:v>https://clashroyale.fandom.com/wiki/User_blog:AesDragon/Hidden_card_stats:_Mass
https://clashroyale.fandom.com/wiki/User_blog:AesDragon/Hidden_card_stats:_Collision_radius
https://clashroyale.fandom.com/wiki/User_blog:AesDragon/Hidden_card_stats:_Sight_range
https://clashroyale.fandom.com/wiki/User_blog:AesDragon/Hidden_card_stats:_Projectile_travel_speeds
https://clashroyale.fandom.com/wiki/User_blog:AesDragon/Hidden_card_stats:_Area_damage_radius</x:v>
      </x:c>
      <x:c r="AA13" s="28" t="str">
        <x:v>https://github.com/smlbiobot/cr-csv/blob/master/assets/csv_logic/characters.csv
https://github.com/smlbiobot/cr-csv/blob/master/assets/csv_logic/projectiles.csv</x:v>
      </x:c>
      <x:c r="AB13" s="28" t="str">
        <x:v>Current L11 from Deck Shop; freeze duration 1.1s.</x:v>
      </x:c>
      <x:c r="AC13" t="str">
        <x:v>1.5</x:v>
      </x:c>
      <x:c r="AD13" t="str">
        <x:v>Homing freeze explosion</x:v>
      </x:c>
    </x:row>
    <x:row r="14" ht="36" customHeight="1">
      <x:c r="A14" s="24" t="n">
        <x:v>13</x:v>
      </x:c>
      <x:c r="B14" s="22" t="str">
        <x:v>Skeleton Barrel</x:v>
      </x:c>
      <x:c r="C14" s="22" t="str">
        <x:v>Troop</x:v>
      </x:c>
      <x:c r="D14" s="22" t="str">
        <x:v>Common</x:v>
      </x:c>
      <x:c r="E14" s="24" t="n">
        <x:v>3</x:v>
      </x:c>
      <x:c r="F14" s="20" t="str">
        <x:v>1 barrel + Skeletons on drop</x:v>
      </x:c>
      <x:c r="G14" s="20" t="str">
        <x:v>Buildings while airborne; Skeletons target ground after drop</x:v>
      </x:c>
      <x:c r="H14" s="20" t="str">
        <x:v>Fast</x:v>
      </x:c>
      <x:c r="I14" s="26" t="n">
        <x:v>90</x:v>
      </x:c>
      <x:c r="J14" s="20" t="str">
        <x:v>0.35 death/drop; barrel impact</x:v>
      </x:c>
      <x:c r="K14" s="20" t="str">
        <x:v>Death/drop then Skeleton attacks</x:v>
      </x:c>
      <x:c r="L14" s="20" t="str">
        <x:v>1.0</x:v>
      </x:c>
      <x:c r="M14" s="20" t="str">
        <x:v>N/A</x:v>
      </x:c>
      <x:c r="N14" s="20" t="str">
        <x:v>532</x:v>
      </x:c>
      <x:c r="O14" s="20"/>
      <x:c r="P14" s="20" t="str">
        <x:v>145 death damage + spawns Skeletons</x:v>
      </x:c>
      <x:c r="Q14" s="20" t="str">
        <x:v>See damage/effect note</x:v>
      </x:c>
      <x:c r="R14" s="20" t="str">
        <x:v>Death/drop barrel + Skeleton spawns</x:v>
      </x:c>
      <x:c r="S14" s="20" t="str">
        <x:v>—</x:v>
      </x:c>
      <x:c r="T14" s="20" t="n">
        <x:v>7</x:v>
      </x:c>
      <x:c r="U14" s="20" t="n">
        <x:v>0.5</x:v>
      </x:c>
      <x:c r="V14" s="20" t="n">
        <x:v>7.7</x:v>
      </x:c>
      <x:c r="W14" s="20" t="str">
        <x:v>Flying building-targeter; drops Skeletons on death/arrival.</x:v>
      </x:c>
      <x:c r="X14" s="28" t="str">
        <x:v>Level 11 public stats included where verified; hidden fields (mass/collision/sight/projectile/splash) cross-checked against AesDragon hidden-stat tables. N/A means not applicable.</x:v>
      </x:c>
      <x:c r="Y14" s="28" t="str">
        <x:v>https://www.deckshop.pro/card/stats
https://www.deckshop.pro/card/hitpoints
https://deckmelon.com/cards/skeleton-barrel
https://clashroyale.fandom.com/wiki/Skeleton_Barrel
https://decksforcr.com/card/detail/skeleton-barrel/</x:v>
      </x:c>
      <x:c r="Z14" s="28" t="str">
        <x:v>https://clashroyale.fandom.com/wiki/User_blog:AesDragon/Hidden_card_stats:_Mass
https://clashroyale.fandom.com/wiki/User_blog:AesDragon/Hidden_card_stats:_Collision_radius
https://clashroyale.fandom.com/wiki/User_blog:AesDragon/Hidden_card_stats:_Sight_range
https://clashroyale.fandom.com/wiki/User_blog:AesDragon/Hidden_card_stats:_Projectile_travel_speeds
https://clashroyale.fandom.com/wiki/User_blog:AesDragon/Hidden_card_stats:_Area_damage_radius</x:v>
      </x:c>
      <x:c r="AA14" s="28" t="str">
        <x:v>https://github.com/smlbiobot/cr-csv/blob/master/assets/csv_logic/characters.csv
https://github.com/smlbiobot/cr-csv/blob/master/assets/csv_logic/projectiles.csv</x:v>
      </x:c>
      <x:c r="AB14" s="28" t="str">
        <x:v>Updated: L11 HP/death damage verified; splash radius added.</x:v>
      </x:c>
      <x:c r="AC14" t="str">
        <x:v>2.0</x:v>
      </x:c>
      <x:c r="AD14" t="str">
        <x:v>360° death/drop AoE</x:v>
      </x:c>
    </x:row>
    <x:row r="15" ht="36" customHeight="1">
      <x:c r="A15" s="24" t="n">
        <x:v>14</x:v>
      </x:c>
      <x:c r="B15" s="22" t="str">
        <x:v>Goblin Gang</x:v>
      </x:c>
      <x:c r="C15" s="22" t="str">
        <x:v>Troop</x:v>
      </x:c>
      <x:c r="D15" s="22" t="str">
        <x:v>Common</x:v>
      </x:c>
      <x:c r="E15" s="24" t="n">
        <x:v>3</x:v>
      </x:c>
      <x:c r="F15" s="20" t="str">
        <x:v>3 Goblins + 3 Spear Goblins</x:v>
      </x:c>
      <x:c r="G15" s="20" t="str">
        <x:v>Ground + air &amp; ground mix</x:v>
      </x:c>
      <x:c r="H15" s="20" t="str">
        <x:v>N/A</x:v>
      </x:c>
      <x:c r="I15" s="26" t="str">
        <x:v>N/A</x:v>
      </x:c>
      <x:c r="J15" s="20" t="str">
        <x:v>0.5/5.0</x:v>
      </x:c>
      <x:c r="K15" s="20" t="str">
        <x:v>1.1 Goblins / 1.7 Spear Goblins</x:v>
      </x:c>
      <x:c r="L15" s="20" t="str">
        <x:v>1.0</x:v>
      </x:c>
      <x:c r="M15" s="20" t="str">
        <x:v>N/A</x:v>
      </x:c>
      <x:c r="N15" s="20" t="str">
        <x:v>202 Goblin / 133 Spear Goblin</x:v>
      </x:c>
      <x:c r="O15" s="20"/>
      <x:c r="P15" s="20" t="str">
        <x:v>120 Goblin / 81 Spear Goblin</x:v>
      </x:c>
      <x:c r="Q15" s="20" t="str">
        <x:v>See damage/effect note</x:v>
      </x:c>
      <x:c r="R15" s="20" t="str">
        <x:v>Melee / no projectile</x:v>
      </x:c>
      <x:c r="S15" s="20" t="str">
        <x:v>—</x:v>
      </x:c>
      <x:c r="T15" s="20" t="str">
        <x:v>2 per spawned unit</x:v>
      </x:c>
      <x:c r="U15" s="20" t="n">
        <x:v>0.5</x:v>
      </x:c>
      <x:c r="V15" s="20" t="n">
        <x:v>5.5</x:v>
      </x:c>
      <x:c r="W15" s="20" t="str">
        <x:v>Mixed melee/ranged swarm; combines Goblins and Spear Goblins.</x:v>
      </x:c>
      <x:c r="X15" s="28" t="str">
        <x:v>Level 11 public stats included where verified; hidden fields (mass/collision/sight/projectile/splash) cross-checked against AesDragon hidden-stat tables. N/A means not applicable.</x:v>
      </x:c>
      <x:c r="Y15" s="28" t="str">
        <x:v>https://www.deckshop.pro/card/stats
https://www.deckshop.pro/card/hitpoints
https://deckmelon.com/cards/goblin-gang
https://clashroyale.fandom.com/wiki/Goblin_Gang</x:v>
      </x:c>
      <x:c r="Z15" s="28" t="str">
        <x:v>https://clashroyale.fandom.com/wiki/User_blog:AesDragon/Hidden_card_stats:_Mass
https://clashroyale.fandom.com/wiki/User_blog:AesDragon/Hidden_card_stats:_Collision_radius
https://clashroyale.fandom.com/wiki/User_blog:AesDragon/Hidden_card_stats:_Sight_range
https://clashroyale.fandom.com/wiki/User_blog:AesDragon/Hidden_card_stats:_Projectile_travel_speeds
https://clashroyale.fandom.com/wiki/User_blog:AesDragon/Hidden_card_stats:_Area_damage_radius</x:v>
      </x:c>
      <x:c r="AA15" s="28" t="str">
        <x:v>https://github.com/smlbiobot/cr-csv/blob/master/assets/csv_logic/characters.csv
https://github.com/smlbiobot/cr-csv/blob/master/assets/csv_logic/projectiles.csv</x:v>
      </x:c>
      <x:c r="AB15" s="28" t="str">
        <x:v>Current L11 from Deckmelon.</x:v>
      </x:c>
      <x:c r="AC15" t="str">
        <x:v>N/A</x:v>
      </x:c>
      <x:c r="AD15" t="str">
        <x:v>Single-target / no splash or AoE</x:v>
      </x:c>
    </x:row>
    <x:row r="16" ht="36" customHeight="1">
      <x:c r="A16" s="24" t="n">
        <x:v>15</x:v>
      </x:c>
      <x:c r="B16" s="22" t="str">
        <x:v>Elite Barbarians</x:v>
      </x:c>
      <x:c r="C16" s="22" t="str">
        <x:v>Troop</x:v>
      </x:c>
      <x:c r="D16" s="22" t="str">
        <x:v>Common</x:v>
      </x:c>
      <x:c r="E16" s="24" t="n">
        <x:v>6</x:v>
      </x:c>
      <x:c r="F16" s="20" t="str">
        <x:v>2</x:v>
      </x:c>
      <x:c r="G16" s="20" t="str">
        <x:v>Ground</x:v>
      </x:c>
      <x:c r="H16" s="20" t="str">
        <x:v>Fast</x:v>
      </x:c>
      <x:c r="I16" s="26" t="n">
        <x:v>90</x:v>
      </x:c>
      <x:c r="J16" s="20" t="str">
        <x:v>0.8</x:v>
      </x:c>
      <x:c r="K16" s="20" t="n">
        <x:v>1.4</x:v>
      </x:c>
      <x:c r="L16" s="20" t="str">
        <x:v>1.0</x:v>
      </x:c>
      <x:c r="M16" s="20" t="str">
        <x:v>N/A</x:v>
      </x:c>
      <x:c r="N16" s="20" t="str">
        <x:v>1,341 per Elite Barbarian</x:v>
      </x:c>
      <x:c r="O16" s="20"/>
      <x:c r="P16" s="20" t="str">
        <x:v>384 per Elite Barbarian</x:v>
      </x:c>
      <x:c r="Q16" s="20" t="str">
        <x:v>See damage/effect note</x:v>
      </x:c>
      <x:c r="R16" s="20" t="str">
        <x:v>Melee / no projectile</x:v>
      </x:c>
      <x:c r="S16" s="20" t="str">
        <x:v>—</x:v>
      </x:c>
      <x:c r="T16" s="20" t="n">
        <x:v>4</x:v>
      </x:c>
      <x:c r="U16" s="20" t="n">
        <x:v>0.5</x:v>
      </x:c>
      <x:c r="V16" s="20" t="n">
        <x:v>5.5</x:v>
      </x:c>
      <x:c r="W16" s="20" t="str">
        <x:v>Two fast melee bruisers; bridge pressure.</x:v>
      </x:c>
      <x:c r="X16" s="28" t="str">
        <x:v>Level 11 public stats included where verified; hidden fields (mass/collision/sight/projectile/splash) cross-checked against AesDragon hidden-stat tables. N/A means not applicable.</x:v>
      </x:c>
      <x:c r="Y16" s="28" t="str">
        <x:v>https://www.deckshop.pro/card/stats
https://www.deckshop.pro/card/hitpoints
https://deckmelon.com/cards/elite-barbarians
https://clashroyale.fandom.com/wiki/Elite_Barbarians
https://www.deckshop.pro/card/detail/elite-barbarians</x:v>
      </x:c>
      <x:c r="Z16" s="28" t="str">
        <x:v>https://clashroyale.fandom.com/wiki/User_blog:AesDragon/Hidden_card_stats:_Mass
https://clashroyale.fandom.com/wiki/User_blog:AesDragon/Hidden_card_stats:_Collision_radius
https://clashroyale.fandom.com/wiki/User_blog:AesDragon/Hidden_card_stats:_Sight_range
https://clashroyale.fandom.com/wiki/User_blog:AesDragon/Hidden_card_stats:_Projectile_travel_speeds
https://clashroyale.fandom.com/wiki/User_blog:AesDragon/Hidden_card_stats:_Area_damage_radius</x:v>
      </x:c>
      <x:c r="AA16" s="28" t="str">
        <x:v>https://github.com/smlbiobot/cr-csv/blob/master/assets/csv_logic/characters.csv
https://github.com/smlbiobot/cr-csv/blob/master/assets/csv_logic/projectiles.csv</x:v>
      </x:c>
      <x:c r="AB16" s="28" t="str">
        <x:v>Updated: L11 HP/damage verified.</x:v>
      </x:c>
      <x:c r="AC16" t="str">
        <x:v>N/A</x:v>
      </x:c>
      <x:c r="AD16" t="str">
        <x:v>Single-target / no splash or AoE</x:v>
      </x:c>
    </x:row>
    <x:row r="17" ht="36" customHeight="1">
      <x:c r="A17" s="24" t="n">
        <x:v>16</x:v>
      </x:c>
      <x:c r="B17" s="22" t="str">
        <x:v>Minion Horde</x:v>
      </x:c>
      <x:c r="C17" s="22" t="str">
        <x:v>Troop</x:v>
      </x:c>
      <x:c r="D17" s="22" t="str">
        <x:v>Common</x:v>
      </x:c>
      <x:c r="E17" s="24" t="n">
        <x:v>5</x:v>
      </x:c>
      <x:c r="F17" s="20" t="str">
        <x:v>6</x:v>
      </x:c>
      <x:c r="G17" s="20" t="str">
        <x:v>Air &amp; ground</x:v>
      </x:c>
      <x:c r="H17" s="20" t="str">
        <x:v>N/A</x:v>
      </x:c>
      <x:c r="I17" s="26" t="str">
        <x:v>N/A</x:v>
      </x:c>
      <x:c r="J17" s="20" t="str">
        <x:v>2.5</x:v>
      </x:c>
      <x:c r="K17" s="20" t="n">
        <x:v>1</x:v>
      </x:c>
      <x:c r="L17" s="20" t="str">
        <x:v>1.0</x:v>
      </x:c>
      <x:c r="M17" s="20" t="str">
        <x:v>N/A</x:v>
      </x:c>
      <x:c r="N17" s="20" t="str">
        <x:v>230 per Minion</x:v>
      </x:c>
      <x:c r="O17" s="20"/>
      <x:c r="P17" s="20" t="str">
        <x:v>107 per Minion</x:v>
      </x:c>
      <x:c r="Q17" s="20" t="str">
        <x:v>See damage/effect note</x:v>
      </x:c>
      <x:c r="R17" s="20" t="str">
        <x:v>Attack projectile</x:v>
      </x:c>
      <x:c r="S17" s="20" t="str">
        <x:v>1000 attack</x:v>
      </x:c>
      <x:c r="T17" s="20" t="str">
        <x:v>2 per spawned unit</x:v>
      </x:c>
      <x:c r="U17" s="20" t="n">
        <x:v>0.5</x:v>
      </x:c>
      <x:c r="V17" s="20" t="n">
        <x:v>5.5</x:v>
      </x:c>
      <x:c r="W17" s="20" t="str">
        <x:v>Six Minions; high air DPS but spell-vulnerable.</x:v>
      </x:c>
      <x:c r="X17" s="28" t="str">
        <x:v>Level 11 public stats included where verified; hidden fields (mass/collision/sight/projectile/splash) cross-checked against AesDragon hidden-stat tables. N/A means not applicable.</x:v>
      </x:c>
      <x:c r="Y17" s="28" t="str">
        <x:v>https://www.deckshop.pro/card/stats
https://www.deckshop.pro/card/hitpoints
https://deckmelon.com/cards/minion-horde
https://clashroyale.fandom.com/wiki/Minion_Horde</x:v>
      </x:c>
      <x:c r="Z17" s="28" t="str">
        <x:v>https://clashroyale.fandom.com/wiki/User_blog:AesDragon/Hidden_card_stats:_Mass
https://clashroyale.fandom.com/wiki/User_blog:AesDragon/Hidden_card_stats:_Collision_radius
https://clashroyale.fandom.com/wiki/User_blog:AesDragon/Hidden_card_stats:_Sight_range
https://clashroyale.fandom.com/wiki/User_blog:AesDragon/Hidden_card_stats:_Projectile_travel_speeds
https://clashroyale.fandom.com/wiki/User_blog:AesDragon/Hidden_card_stats:_Area_damage_radius</x:v>
      </x:c>
      <x:c r="AA17" s="28" t="str">
        <x:v>https://github.com/smlbiobot/cr-csv/blob/master/assets/csv_logic/characters.csv
https://github.com/smlbiobot/cr-csv/blob/master/assets/csv_logic/projectiles.csv</x:v>
      </x:c>
      <x:c r="AB17" s="28" t="str">
        <x:v>Same unit stats as Minions; 6 total.</x:v>
      </x:c>
      <x:c r="AC17" t="str">
        <x:v>N/A</x:v>
      </x:c>
      <x:c r="AD17" t="str">
        <x:v>Single-target / no splash or AoE</x:v>
      </x:c>
    </x:row>
    <x:row r="18" ht="36" customHeight="1">
      <x:c r="A18" s="24" t="n">
        <x:v>17</x:v>
      </x:c>
      <x:c r="B18" s="22" t="str">
        <x:v>Mini P.E.K.K.A</x:v>
      </x:c>
      <x:c r="C18" s="22" t="str">
        <x:v>Troop</x:v>
      </x:c>
      <x:c r="D18" s="22" t="str">
        <x:v>Rare</x:v>
      </x:c>
      <x:c r="E18" s="24" t="n">
        <x:v>4</x:v>
      </x:c>
      <x:c r="F18" s="20" t="str">
        <x:v>1</x:v>
      </x:c>
      <x:c r="G18" s="20" t="str">
        <x:v>Ground</x:v>
      </x:c>
      <x:c r="H18" s="20" t="str">
        <x:v>Fast</x:v>
      </x:c>
      <x:c r="I18" s="26" t="n">
        <x:v>90</x:v>
      </x:c>
      <x:c r="J18" s="20" t="str">
        <x:v>0.8</x:v>
      </x:c>
      <x:c r="K18" s="20" t="n">
        <x:v>1.6</x:v>
      </x:c>
      <x:c r="L18" s="20" t="str">
        <x:v>1.0</x:v>
      </x:c>
      <x:c r="M18" s="20" t="str">
        <x:v>N/A</x:v>
      </x:c>
      <x:c r="N18" s="20" t="str">
        <x:v>1,433</x:v>
      </x:c>
      <x:c r="O18" s="20"/>
      <x:c r="P18" s="20" t="str">
        <x:v>755</x:v>
      </x:c>
      <x:c r="Q18" s="20" t="str">
        <x:v>See damage/effect note</x:v>
      </x:c>
      <x:c r="R18" s="20" t="str">
        <x:v>Melee / no projectile</x:v>
      </x:c>
      <x:c r="S18" s="20" t="str">
        <x:v>—</x:v>
      </x:c>
      <x:c r="T18" s="20" t="n">
        <x:v>4</x:v>
      </x:c>
      <x:c r="U18" s="20" t="n">
        <x:v>0.45</x:v>
      </x:c>
      <x:c r="V18" s="20" t="n">
        <x:v>5.5</x:v>
      </x:c>
      <x:c r="W18" s="20" t="str">
        <x:v>Fast single-target burst damage; no splash.</x:v>
      </x:c>
      <x:c r="X18" s="28" t="str">
        <x:v>Level 11 public stats included where verified; hidden fields (mass/collision/sight/projectile/splash) cross-checked against AesDragon hidden-stat tables. N/A means not applicable.</x:v>
      </x:c>
      <x:c r="Y18" s="28" t="str">
        <x:v>https://www.deckshop.pro/card/stats
https://www.deckshop.pro/card/hitpoints
https://deckmelon.com/cards/mini-pekka
https://clashroyale.fandom.com/wiki/Mini_P.E.K.K.A</x:v>
      </x:c>
      <x:c r="Z18" s="28" t="str">
        <x:v>https://clashroyale.fandom.com/wiki/User_blog:AesDragon/Hidden_card_stats:_Mass
https://clashroyale.fandom.com/wiki/User_blog:AesDragon/Hidden_card_stats:_Collision_radius
https://clashroyale.fandom.com/wiki/User_blog:AesDragon/Hidden_card_stats:_Sight_range
https://clashroyale.fandom.com/wiki/User_blog:AesDragon/Hidden_card_stats:_Projectile_travel_speeds
https://clashroyale.fandom.com/wiki/User_blog:AesDragon/Hidden_card_stats:_Area_damage_radius</x:v>
      </x:c>
      <x:c r="AA18" s="28" t="str">
        <x:v>https://github.com/smlbiobot/cr-csv/blob/master/assets/csv_logic/characters.csv
https://github.com/smlbiobot/cr-csv/blob/master/assets/csv_logic/projectiles.csv</x:v>
      </x:c>
      <x:c r="AB18" s="28" t="str">
        <x:v>Current L11 from Deckmelon.</x:v>
      </x:c>
      <x:c r="AC18" t="str">
        <x:v>N/A</x:v>
      </x:c>
      <x:c r="AD18" t="str">
        <x:v>Single-target / no splash or AoE</x:v>
      </x:c>
    </x:row>
    <x:row r="19" ht="36" customHeight="1">
      <x:c r="A19" s="24" t="n">
        <x:v>18</x:v>
      </x:c>
      <x:c r="B19" s="22" t="str">
        <x:v>Musketeer</x:v>
      </x:c>
      <x:c r="C19" s="22" t="str">
        <x:v>Troop</x:v>
      </x:c>
      <x:c r="D19" s="22" t="str">
        <x:v>Rare</x:v>
      </x:c>
      <x:c r="E19" s="24" t="n">
        <x:v>4</x:v>
      </x:c>
      <x:c r="F19" s="20" t="str">
        <x:v>1</x:v>
      </x:c>
      <x:c r="G19" s="20" t="str">
        <x:v>Air &amp; ground</x:v>
      </x:c>
      <x:c r="H19" s="20" t="str">
        <x:v>Medium</x:v>
      </x:c>
      <x:c r="I19" s="26" t="n">
        <x:v>60</x:v>
      </x:c>
      <x:c r="J19" s="20" t="str">
        <x:v>6.0</x:v>
      </x:c>
      <x:c r="K19" s="20" t="n">
        <x:v>1</x:v>
      </x:c>
      <x:c r="L19" s="20" t="str">
        <x:v>1.0</x:v>
      </x:c>
      <x:c r="M19" s="20" t="str">
        <x:v>N/A</x:v>
      </x:c>
      <x:c r="N19" s="20" t="str">
        <x:v>721</x:v>
      </x:c>
      <x:c r="O19" s="20"/>
      <x:c r="P19" s="20" t="str">
        <x:v>217</x:v>
      </x:c>
      <x:c r="Q19" s="20" t="str">
        <x:v>See damage/effect note</x:v>
      </x:c>
      <x:c r="R19" s="20" t="str">
        <x:v>MusketeerProjectile</x:v>
      </x:c>
      <x:c r="S19" s="20" t="str">
        <x:v>1000 attack</x:v>
      </x:c>
      <x:c r="T19" s="20" t="n">
        <x:v>5</x:v>
      </x:c>
      <x:c r="U19" s="20" t="n">
        <x:v>0.5</x:v>
      </x:c>
      <x:c r="V19" s="20" t="n">
        <x:v>6</x:v>
      </x:c>
      <x:c r="W19" s="20" t="str">
        <x:v>Long-range single-target support; air/ground.</x:v>
      </x:c>
      <x:c r="X19" s="28" t="str">
        <x:v>Level 11 public stats included where verified; hidden fields (mass/collision/sight/projectile/splash) cross-checked against AesDragon hidden-stat tables. N/A means not applicable.</x:v>
      </x:c>
      <x:c r="Y19" s="28" t="str">
        <x:v>https://www.deckshop.pro/card/stats
https://www.deckshop.pro/card/hitpoints
https://deckmelon.com/cards/musketeer
https://clashroyale.fandom.com/wiki/Musketeer
https://www.deckshop.pro/card/detail/musketeer</x:v>
      </x:c>
      <x:c r="Z19" s="28" t="str">
        <x:v>https://clashroyale.fandom.com/wiki/User_blog:AesDragon/Hidden_card_stats:_Mass
https://clashroyale.fandom.com/wiki/User_blog:AesDragon/Hidden_card_stats:_Collision_radius
https://clashroyale.fandom.com/wiki/User_blog:AesDragon/Hidden_card_stats:_Sight_range
https://clashroyale.fandom.com/wiki/User_blog:AesDragon/Hidden_card_stats:_Projectile_travel_speeds
https://clashroyale.fandom.com/wiki/User_blog:AesDragon/Hidden_card_stats:_Area_damage_radius</x:v>
      </x:c>
      <x:c r="AA19" s="28" t="str">
        <x:v>https://github.com/smlbiobot/cr-csv/blob/master/assets/csv_logic/characters.csv
https://github.com/smlbiobot/cr-csv/blob/master/assets/csv_logic/projectiles.csv</x:v>
      </x:c>
      <x:c r="AB19" s="28" t="str">
        <x:v>Updated: L11 HP/damage verified.</x:v>
      </x:c>
      <x:c r="AC19" t="str">
        <x:v>N/A</x:v>
      </x:c>
      <x:c r="AD19" t="str">
        <x:v>Single-target / no splash or AoE</x:v>
      </x:c>
    </x:row>
    <x:row r="20" ht="36" customHeight="1">
      <x:c r="A20" s="24" t="n">
        <x:v>19</x:v>
      </x:c>
      <x:c r="B20" s="22" t="str">
        <x:v>Giant</x:v>
      </x:c>
      <x:c r="C20" s="22" t="str">
        <x:v>Troop</x:v>
      </x:c>
      <x:c r="D20" s="22" t="str">
        <x:v>Rare</x:v>
      </x:c>
      <x:c r="E20" s="24" t="n">
        <x:v>5</x:v>
      </x:c>
      <x:c r="F20" s="20" t="str">
        <x:v>1</x:v>
      </x:c>
      <x:c r="G20" s="20" t="str">
        <x:v>Buildings</x:v>
      </x:c>
      <x:c r="H20" s="20" t="str">
        <x:v>Slow</x:v>
      </x:c>
      <x:c r="I20" s="26" t="n">
        <x:v>45</x:v>
      </x:c>
      <x:c r="J20" s="20" t="str">
        <x:v>1.2</x:v>
      </x:c>
      <x:c r="K20" s="20" t="n">
        <x:v>1.5</x:v>
      </x:c>
      <x:c r="L20" s="20" t="str">
        <x:v>1.0</x:v>
      </x:c>
      <x:c r="M20" s="20" t="str">
        <x:v>N/A</x:v>
      </x:c>
      <x:c r="N20" s="20" t="str">
        <x:v>4,090</x:v>
      </x:c>
      <x:c r="O20" s="20"/>
      <x:c r="P20" s="20" t="str">
        <x:v>253</x:v>
      </x:c>
      <x:c r="Q20" s="20" t="str">
        <x:v>See damage/effect note</x:v>
      </x:c>
      <x:c r="R20" s="20" t="str">
        <x:v>Melee / no projectile</x:v>
      </x:c>
      <x:c r="S20" s="20" t="str">
        <x:v>—</x:v>
      </x:c>
      <x:c r="T20" s="20" t="n">
        <x:v>18</x:v>
      </x:c>
      <x:c r="U20" s="20" t="n">
        <x:v>0.75</x:v>
      </x:c>
      <x:c r="V20" s="20" t="n">
        <x:v>7.5</x:v>
      </x:c>
      <x:c r="W20" s="20" t="str">
        <x:v>Slow building-targeting tank.</x:v>
      </x:c>
      <x:c r="X20" s="28" t="str">
        <x:v>Level 11 public stats included where verified; hidden fields (mass/collision/sight/projectile/splash) cross-checked against AesDragon hidden-stat tables. N/A means not applicable.</x:v>
      </x:c>
      <x:c r="Y20" s="28" t="str">
        <x:v>https://www.deckshop.pro/card/stats
https://www.deckshop.pro/card/hitpoints
https://deckmelon.com/cards/giant
https://clashroyale.fandom.com/wiki/Giant</x:v>
      </x:c>
      <x:c r="Z20" s="28" t="str">
        <x:v>https://clashroyale.fandom.com/wiki/User_blog:AesDragon/Hidden_card_stats:_Mass
https://clashroyale.fandom.com/wiki/User_blog:AesDragon/Hidden_card_stats:_Collision_radius
https://clashroyale.fandom.com/wiki/User_blog:AesDragon/Hidden_card_stats:_Sight_range
https://clashroyale.fandom.com/wiki/User_blog:AesDragon/Hidden_card_stats:_Projectile_travel_speeds
https://clashroyale.fandom.com/wiki/User_blog:AesDragon/Hidden_card_stats:_Area_damage_radius</x:v>
      </x:c>
      <x:c r="AA20" s="28" t="str">
        <x:v>https://github.com/smlbiobot/cr-csv/blob/master/assets/csv_logic/characters.csv
https://github.com/smlbiobot/cr-csv/blob/master/assets/csv_logic/projectiles.csv</x:v>
      </x:c>
      <x:c r="AB20" s="28" t="str">
        <x:v>Current L11 from Deckmelon.</x:v>
      </x:c>
      <x:c r="AC20" t="str">
        <x:v>N/A</x:v>
      </x:c>
      <x:c r="AD20" t="str">
        <x:v>Single-target / no splash or AoE</x:v>
      </x:c>
    </x:row>
    <x:row r="21" ht="36" customHeight="1">
      <x:c r="A21" s="24" t="n">
        <x:v>20</x:v>
      </x:c>
      <x:c r="B21" s="22" t="str">
        <x:v>Valkyrie</x:v>
      </x:c>
      <x:c r="C21" s="22" t="str">
        <x:v>Troop</x:v>
      </x:c>
      <x:c r="D21" s="22" t="str">
        <x:v>Rare</x:v>
      </x:c>
      <x:c r="E21" s="24" t="n">
        <x:v>4</x:v>
      </x:c>
      <x:c r="F21" s="20" t="str">
        <x:v>1</x:v>
      </x:c>
      <x:c r="G21" s="20" t="str">
        <x:v>Ground</x:v>
      </x:c>
      <x:c r="H21" s="20" t="str">
        <x:v>Medium</x:v>
      </x:c>
      <x:c r="I21" s="26" t="n">
        <x:v>60</x:v>
      </x:c>
      <x:c r="J21" s="20" t="str">
        <x:v>1.2</x:v>
      </x:c>
      <x:c r="K21" s="20" t="n">
        <x:v>1.5</x:v>
      </x:c>
      <x:c r="L21" s="20" t="str">
        <x:v>1.0</x:v>
      </x:c>
      <x:c r="M21" s="20" t="str">
        <x:v>N/A</x:v>
      </x:c>
      <x:c r="N21" s="20" t="str">
        <x:v>1,907</x:v>
      </x:c>
      <x:c r="O21" s="20"/>
      <x:c r="P21" s="20" t="str">
        <x:v>266 area</x:v>
      </x:c>
      <x:c r="Q21" s="20" t="str">
        <x:v>See damage/effect note</x:v>
      </x:c>
      <x:c r="R21" s="20" t="str">
        <x:v>Melee / no projectile</x:v>
      </x:c>
      <x:c r="S21" s="20" t="str">
        <x:v>—</x:v>
      </x:c>
      <x:c r="T21" s="20" t="n">
        <x:v>5</x:v>
      </x:c>
      <x:c r="U21" s="20" t="n">
        <x:v>0.5</x:v>
      </x:c>
      <x:c r="V21" s="20" t="n">
        <x:v>5.5</x:v>
      </x:c>
      <x:c r="W21" s="20" t="str">
        <x:v>360° ground splash melee; no air targeting.</x:v>
      </x:c>
      <x:c r="X21" s="28" t="str">
        <x:v>Level 11 public stats included where verified; hidden fields (mass/collision/sight/projectile/splash) cross-checked against AesDragon hidden-stat tables. N/A means not applicable.</x:v>
      </x:c>
      <x:c r="Y21" s="28" t="str">
        <x:v>https://www.deckshop.pro/card/stats
https://www.deckshop.pro/card/hitpoints
https://deckmelon.com/cards/valkyrie
https://clashroyale.fandom.com/wiki/Valkyrie
https://decksforcr.com/card/detail/valkyrie
https://www.deckshop.pro/go/card/detail/valkyrie</x:v>
      </x:c>
      <x:c r="Z21" s="28" t="str">
        <x:v>https://clashroyale.fandom.com/wiki/User_blog:AesDragon/Hidden_card_stats:_Mass
https://clashroyale.fandom.com/wiki/User_blog:AesDragon/Hidden_card_stats:_Collision_radius
https://clashroyale.fandom.com/wiki/User_blog:AesDragon/Hidden_card_stats:_Sight_range
https://clashroyale.fandom.com/wiki/User_blog:AesDragon/Hidden_card_stats:_Projectile_travel_speeds
https://clashroyale.fandom.com/wiki/User_blog:AesDragon/Hidden_card_stats:_Area_damage_radius</x:v>
      </x:c>
      <x:c r="AA21" s="28" t="str">
        <x:v>https://github.com/smlbiobot/cr-csv/blob/master/assets/csv_logic/characters.csv
https://github.com/smlbiobot/cr-csv/blob/master/assets/csv_logic/projectiles.csv</x:v>
      </x:c>
      <x:c r="AB21" s="28" t="str">
        <x:v>Updated: L11 HP/damage verified; area radius added.</x:v>
      </x:c>
      <x:c r="AC21" t="str">
        <x:v>1.9</x:v>
      </x:c>
      <x:c r="AD21" t="str">
        <x:v>360° melee sweep</x:v>
      </x:c>
    </x:row>
    <x:row r="22" ht="36" customHeight="1">
      <x:c r="A22" s="24" t="n">
        <x:v>21</x:v>
      </x:c>
      <x:c r="B22" s="22" t="str">
        <x:v>Mega Minion</x:v>
      </x:c>
      <x:c r="C22" s="22" t="str">
        <x:v>Troop</x:v>
      </x:c>
      <x:c r="D22" s="22" t="str">
        <x:v>Rare</x:v>
      </x:c>
      <x:c r="E22" s="24" t="n">
        <x:v>3</x:v>
      </x:c>
      <x:c r="F22" s="20" t="str">
        <x:v>1</x:v>
      </x:c>
      <x:c r="G22" s="20" t="str">
        <x:v>Air &amp; ground</x:v>
      </x:c>
      <x:c r="H22" s="20" t="str">
        <x:v>Medium</x:v>
      </x:c>
      <x:c r="I22" s="26" t="n">
        <x:v>60</x:v>
      </x:c>
      <x:c r="J22" s="20" t="str">
        <x:v>1.6</x:v>
      </x:c>
      <x:c r="K22" s="20" t="n">
        <x:v>1.6</x:v>
      </x:c>
      <x:c r="L22" s="20" t="str">
        <x:v>1.0</x:v>
      </x:c>
      <x:c r="M22" s="20" t="str">
        <x:v>N/A</x:v>
      </x:c>
      <x:c r="N22" s="20" t="str">
        <x:v>837</x:v>
      </x:c>
      <x:c r="O22" s="20"/>
      <x:c r="P22" s="20" t="str">
        <x:v>312</x:v>
      </x:c>
      <x:c r="Q22" s="20" t="str">
        <x:v>See damage/effect note</x:v>
      </x:c>
      <x:c r="R22" s="20" t="str">
        <x:v>Attack projectile</x:v>
      </x:c>
      <x:c r="S22" s="20" t="str">
        <x:v>1000 attack</x:v>
      </x:c>
      <x:c r="T22" s="20" t="n">
        <x:v>6</x:v>
      </x:c>
      <x:c r="U22" s="20" t="n">
        <x:v>0.6</x:v>
      </x:c>
      <x:c r="V22" s="20" t="n">
        <x:v>5.5</x:v>
      </x:c>
      <x:c r="W22" s="20" t="str">
        <x:v>Flying single-target support; medium speed.</x:v>
      </x:c>
      <x:c r="X22" s="28" t="str">
        <x:v>Level 11 public stats included where verified; hidden fields (mass/collision/sight/projectile/splash) cross-checked against AesDragon hidden-stat tables. N/A means not applicable.</x:v>
      </x:c>
      <x:c r="Y22" s="28" t="str">
        <x:v>https://www.deckshop.pro/card/stats
https://www.deckshop.pro/card/hitpoints
https://deckmelon.com/cards/mega-minion
https://clashroyale.fandom.com/wiki/Mega_Minion
https://www.deckshop.pro/card/detail/mega-minion</x:v>
      </x:c>
      <x:c r="Z22" s="28" t="str">
        <x:v>https://clashroyale.fandom.com/wiki/User_blog:AesDragon/Hidden_card_stats:_Mass
https://clashroyale.fandom.com/wiki/User_blog:AesDragon/Hidden_card_stats:_Collision_radius
https://clashroyale.fandom.com/wiki/User_blog:AesDragon/Hidden_card_stats:_Sight_range
https://clashroyale.fandom.com/wiki/User_blog:AesDragon/Hidden_card_stats:_Projectile_travel_speeds
https://clashroyale.fandom.com/wiki/User_blog:AesDragon/Hidden_card_stats:_Area_damage_radius</x:v>
      </x:c>
      <x:c r="AA22" s="28" t="str">
        <x:v>https://github.com/smlbiobot/cr-csv/blob/master/assets/csv_logic/characters.csv
https://github.com/smlbiobot/cr-csv/blob/master/assets/csv_logic/projectiles.csv</x:v>
      </x:c>
      <x:c r="AB22" s="28" t="str">
        <x:v>Updated: L11 HP/damage verified.</x:v>
      </x:c>
      <x:c r="AC22" t="str">
        <x:v>N/A</x:v>
      </x:c>
      <x:c r="AD22" t="str">
        <x:v>Single-target / no splash or AoE</x:v>
      </x:c>
    </x:row>
    <x:row r="23" ht="36" customHeight="1">
      <x:c r="A23" s="24" t="n">
        <x:v>22</x:v>
      </x:c>
      <x:c r="B23" s="22" t="str">
        <x:v>Battle Ram</x:v>
      </x:c>
      <x:c r="C23" s="22" t="str">
        <x:v>Troop</x:v>
      </x:c>
      <x:c r="D23" s="22" t="str">
        <x:v>Rare</x:v>
      </x:c>
      <x:c r="E23" s="24" t="n">
        <x:v>4</x:v>
      </x:c>
      <x:c r="F23" s="20" t="str">
        <x:v>1 ram + 2 Barbarians on break</x:v>
      </x:c>
      <x:c r="G23" s="20" t="str">
        <x:v>Buildings while charging; Barbarians target ground</x:v>
      </x:c>
      <x:c r="H23" s="20" t="str">
        <x:v>Medium</x:v>
      </x:c>
      <x:c r="I23" s="26" t="n">
        <x:v>60</x:v>
      </x:c>
      <x:c r="J23" s="20" t="str">
        <x:v>0.8</x:v>
      </x:c>
      <x:c r="K23" s="20" t="str">
        <x:v>Charge then Barbarians 1.4</x:v>
      </x:c>
      <x:c r="L23" s="20" t="str">
        <x:v>1.0</x:v>
      </x:c>
      <x:c r="M23" s="20" t="str">
        <x:v>N/A</x:v>
      </x:c>
      <x:c r="N23" s="20" t="str">
        <x:v>967 Ram; 670 per spawned Barbarian</x:v>
      </x:c>
      <x:c r="O23" s="20"/>
      <x:c r="P23" s="20" t="str">
        <x:v>286 impact / 573 charge; Barbarians 192 each</x:v>
      </x:c>
      <x:c r="Q23" s="20" t="str">
        <x:v>See damage/effect note</x:v>
      </x:c>
      <x:c r="R23" s="20" t="str">
        <x:v>Melee / no projectile</x:v>
      </x:c>
      <x:c r="S23" s="20" t="str">
        <x:v>—</x:v>
      </x:c>
      <x:c r="T23" s="20" t="n">
        <x:v>6</x:v>
      </x:c>
      <x:c r="U23" s="20" t="n">
        <x:v>0.75</x:v>
      </x:c>
      <x:c r="V23" s="20" t="n">
        <x:v>5.5</x:v>
      </x:c>
      <x:c r="W23" s="20" t="str">
        <x:v>Charges buildings; breaks into two Barbarians.</x:v>
      </x:c>
      <x:c r="X23" s="28" t="str">
        <x:v>Level 11 public stats included where verified; hidden fields (mass/collision/sight/projectile/splash) cross-checked against AesDragon hidden-stat tables. N/A means not applicable.</x:v>
      </x:c>
      <x:c r="Y23" s="28" t="str">
        <x:v>https://www.deckshop.pro/card/stats
https://www.deckshop.pro/card/hitpoints
https://deckmelon.com/cards/battle-ram
https://clashroyale.fandom.com/wiki/Battle_Ram</x:v>
      </x:c>
      <x:c r="Z23" s="28" t="str">
        <x:v>https://clashroyale.fandom.com/wiki/User_blog:AesDragon/Hidden_card_stats:_Mass
https://clashroyale.fandom.com/wiki/User_blog:AesDragon/Hidden_card_stats:_Collision_radius
https://clashroyale.fandom.com/wiki/User_blog:AesDragon/Hidden_card_stats:_Sight_range
https://clashroyale.fandom.com/wiki/User_blog:AesDragon/Hidden_card_stats:_Projectile_travel_speeds
https://clashroyale.fandom.com/wiki/User_blog:AesDragon/Hidden_card_stats:_Area_damage_radius</x:v>
      </x:c>
      <x:c r="AA23" s="28" t="str">
        <x:v>https://github.com/smlbiobot/cr-csv/blob/master/assets/csv_logic/characters.csv
https://github.com/smlbiobot/cr-csv/blob/master/assets/csv_logic/projectiles.csv</x:v>
      </x:c>
      <x:c r="AB23" s="28" t="str">
        <x:v>Updated: L11 ram and Barbarian component stats verified.</x:v>
      </x:c>
      <x:c r="AC23" t="str">
        <x:v>N/A</x:v>
      </x:c>
      <x:c r="AD23" t="str">
        <x:v>Single-target / no splash or AoE</x:v>
      </x:c>
    </x:row>
    <x:row r="24" ht="36" customHeight="1">
      <x:c r="A24" s="24" t="n">
        <x:v>23</x:v>
      </x:c>
      <x:c r="B24" s="22" t="str">
        <x:v>Wizard</x:v>
      </x:c>
      <x:c r="C24" s="22" t="str">
        <x:v>Troop</x:v>
      </x:c>
      <x:c r="D24" s="22" t="str">
        <x:v>Rare</x:v>
      </x:c>
      <x:c r="E24" s="24" t="n">
        <x:v>5</x:v>
      </x:c>
      <x:c r="F24" s="20" t="str">
        <x:v>1</x:v>
      </x:c>
      <x:c r="G24" s="20" t="str">
        <x:v>Air &amp; ground</x:v>
      </x:c>
      <x:c r="H24" s="20" t="str">
        <x:v>Medium</x:v>
      </x:c>
      <x:c r="I24" s="26" t="n">
        <x:v>60</x:v>
      </x:c>
      <x:c r="J24" s="20" t="str">
        <x:v>5.5</x:v>
      </x:c>
      <x:c r="K24" s="20" t="n">
        <x:v>1.4</x:v>
      </x:c>
      <x:c r="L24" s="20" t="str">
        <x:v>1.0</x:v>
      </x:c>
      <x:c r="M24" s="20" t="str">
        <x:v>N/A</x:v>
      </x:c>
      <x:c r="N24" s="20" t="str">
        <x:v>755</x:v>
      </x:c>
      <x:c r="O24" s="20"/>
      <x:c r="P24" s="20" t="str">
        <x:v>281 area</x:v>
      </x:c>
      <x:c r="Q24" s="20" t="str">
        <x:v>See damage/effect note</x:v>
      </x:c>
      <x:c r="R24" s="20" t="str">
        <x:v>Wizard projectile</x:v>
      </x:c>
      <x:c r="S24" s="20" t="str">
        <x:v>600 attack</x:v>
      </x:c>
      <x:c r="T24" s="20" t="n">
        <x:v>5</x:v>
      </x:c>
      <x:c r="U24" s="20" t="n">
        <x:v>0.5</x:v>
      </x:c>
      <x:c r="V24" s="20" t="n">
        <x:v>5.5</x:v>
      </x:c>
      <x:c r="W24" s="20" t="str">
        <x:v>Ranged splash support; air/ground.</x:v>
      </x:c>
      <x:c r="X24" s="28" t="str">
        <x:v>Level 11 public stats included where verified; hidden fields (mass/collision/sight/projectile/splash) cross-checked against AesDragon hidden-stat tables. N/A means not applicable.</x:v>
      </x:c>
      <x:c r="Y24" s="28" t="str">
        <x:v>https://www.deckshop.pro/card/stats
https://www.deckshop.pro/card/hitpoints
https://deckmelon.com/cards/wizard
https://clashroyale.fandom.com/wiki/Wizard</x:v>
      </x:c>
      <x:c r="Z24" s="28" t="str">
        <x:v>https://clashroyale.fandom.com/wiki/User_blog:AesDragon/Hidden_card_stats:_Mass
https://clashroyale.fandom.com/wiki/User_blog:AesDragon/Hidden_card_stats:_Collision_radius
https://clashroyale.fandom.com/wiki/User_blog:AesDragon/Hidden_card_stats:_Sight_range
https://clashroyale.fandom.com/wiki/User_blog:AesDragon/Hidden_card_stats:_Projectile_travel_speeds
https://clashroyale.fandom.com/wiki/User_blog:AesDragon/Hidden_card_stats:_Area_damage_radius</x:v>
      </x:c>
      <x:c r="AA24" s="28" t="str">
        <x:v>https://github.com/smlbiobot/cr-csv/blob/master/assets/csv_logic/characters.csv
https://github.com/smlbiobot/cr-csv/blob/master/assets/csv_logic/projectiles.csv</x:v>
      </x:c>
      <x:c r="AB24" s="28" t="str">
        <x:v>Current L11 from Deckmelon.</x:v>
      </x:c>
      <x:c r="AC24" t="str">
        <x:v>1.5</x:v>
      </x:c>
      <x:c r="AD24" t="str">
        <x:v>Homing projectile splash</x:v>
      </x:c>
    </x:row>
    <x:row r="25" ht="36" customHeight="1">
      <x:c r="A25" s="24" t="n">
        <x:v>24</x:v>
      </x:c>
      <x:c r="B25" s="22" t="str">
        <x:v>Flying Machine</x:v>
      </x:c>
      <x:c r="C25" s="22" t="str">
        <x:v>Troop</x:v>
      </x:c>
      <x:c r="D25" s="22" t="str">
        <x:v>Rare</x:v>
      </x:c>
      <x:c r="E25" s="24" t="n">
        <x:v>4</x:v>
      </x:c>
      <x:c r="F25" s="20" t="str">
        <x:v>1</x:v>
      </x:c>
      <x:c r="G25" s="20" t="str">
        <x:v>Air &amp; ground</x:v>
      </x:c>
      <x:c r="H25" s="20" t="str">
        <x:v>Fast</x:v>
      </x:c>
      <x:c r="I25" s="26" t="n">
        <x:v>90</x:v>
      </x:c>
      <x:c r="J25" s="20" t="str">
        <x:v>6.0</x:v>
      </x:c>
      <x:c r="K25" s="20" t="n">
        <x:v>1.1</x:v>
      </x:c>
      <x:c r="L25" s="20" t="str">
        <x:v>1.0</x:v>
      </x:c>
      <x:c r="M25" s="20" t="str">
        <x:v>N/A</x:v>
      </x:c>
      <x:c r="N25" s="20" t="str">
        <x:v>614</x:v>
      </x:c>
      <x:c r="O25" s="20"/>
      <x:c r="P25" s="20" t="str">
        <x:v>171</x:v>
      </x:c>
      <x:c r="Q25" s="20" t="str">
        <x:v>See damage/effect note</x:v>
      </x:c>
      <x:c r="R25" s="20" t="str">
        <x:v>Attack projectile</x:v>
      </x:c>
      <x:c r="S25" s="20" t="str">
        <x:v>800 attack</x:v>
      </x:c>
      <x:c r="T25" s="20" t="n">
        <x:v>3</x:v>
      </x:c>
      <x:c r="U25" s="20" t="n">
        <x:v>0.5</x:v>
      </x:c>
      <x:c r="V25" s="20" t="n">
        <x:v>6</x:v>
      </x:c>
      <x:c r="W25" s="20" t="str">
        <x:v>Flying long-range single-target support.</x:v>
      </x:c>
      <x:c r="X25" s="28" t="str">
        <x:v>Level 11 public stats included where verified; hidden fields (mass/collision/sight/projectile/splash) cross-checked against AesDragon hidden-stat tables. N/A means not applicable.</x:v>
      </x:c>
      <x:c r="Y25" s="28" t="str">
        <x:v>https://www.deckshop.pro/card/stats
https://www.deckshop.pro/card/hitpoints
https://deckmelon.com/cards/flying-machine
https://clashroyale.fandom.com/wiki/Flying_Machine
https://www.deckshop.pro/card/detail/flying-machine</x:v>
      </x:c>
      <x:c r="Z25" s="28" t="str">
        <x:v>https://clashroyale.fandom.com/wiki/User_blog:AesDragon/Hidden_card_stats:_Mass
https://clashroyale.fandom.com/wiki/User_blog:AesDragon/Hidden_card_stats:_Collision_radius
https://clashroyale.fandom.com/wiki/User_blog:AesDragon/Hidden_card_stats:_Sight_range
https://clashroyale.fandom.com/wiki/User_blog:AesDragon/Hidden_card_stats:_Projectile_travel_speeds
https://clashroyale.fandom.com/wiki/User_blog:AesDragon/Hidden_card_stats:_Area_damage_radius</x:v>
      </x:c>
      <x:c r="AA25" s="28" t="str">
        <x:v>https://github.com/smlbiobot/cr-csv/blob/master/assets/csv_logic/characters.csv
https://github.com/smlbiobot/cr-csv/blob/master/assets/csv_logic/projectiles.csv</x:v>
      </x:c>
      <x:c r="AB25" s="28" t="str">
        <x:v>Updated: L11 HP/damage verified.</x:v>
      </x:c>
      <x:c r="AC25" t="str">
        <x:v>N/A</x:v>
      </x:c>
      <x:c r="AD25" t="str">
        <x:v>Single-target / no splash or AoE</x:v>
      </x:c>
    </x:row>
    <x:row r="26" ht="36" customHeight="1">
      <x:c r="A26" s="24" t="n">
        <x:v>25</x:v>
      </x:c>
      <x:c r="B26" s="22" t="str">
        <x:v>Hog Rider</x:v>
      </x:c>
      <x:c r="C26" s="22" t="str">
        <x:v>Troop</x:v>
      </x:c>
      <x:c r="D26" s="22" t="str">
        <x:v>Rare</x:v>
      </x:c>
      <x:c r="E26" s="24" t="n">
        <x:v>4</x:v>
      </x:c>
      <x:c r="F26" s="20" t="str">
        <x:v>1</x:v>
      </x:c>
      <x:c r="G26" s="20" t="str">
        <x:v>Buildings</x:v>
      </x:c>
      <x:c r="H26" s="20" t="str">
        <x:v>Very Fast</x:v>
      </x:c>
      <x:c r="I26" s="26" t="n">
        <x:v>120</x:v>
      </x:c>
      <x:c r="J26" s="20" t="str">
        <x:v>0.8</x:v>
      </x:c>
      <x:c r="K26" s="20" t="n">
        <x:v>1.6</x:v>
      </x:c>
      <x:c r="L26" s="20" t="str">
        <x:v>1.0</x:v>
      </x:c>
      <x:c r="M26" s="20" t="str">
        <x:v>N/A</x:v>
      </x:c>
      <x:c r="N26" s="20" t="str">
        <x:v>1,697</x:v>
      </x:c>
      <x:c r="O26" s="20"/>
      <x:c r="P26" s="20" t="str">
        <x:v>317</x:v>
      </x:c>
      <x:c r="Q26" s="20" t="str">
        <x:v>See damage/effect note</x:v>
      </x:c>
      <x:c r="R26" s="20" t="str">
        <x:v>Melee / no projectile</x:v>
      </x:c>
      <x:c r="S26" s="20" t="str">
        <x:v>—</x:v>
      </x:c>
      <x:c r="T26" s="20" t="n">
        <x:v>4</x:v>
      </x:c>
      <x:c r="U26" s="20" t="n">
        <x:v>0.6</x:v>
      </x:c>
      <x:c r="V26" s="20" t="n">
        <x:v>9.5</x:v>
      </x:c>
      <x:c r="W26" s="20" t="str">
        <x:v>Very fast building-targeting rider; jumps river.</x:v>
      </x:c>
      <x:c r="X26" s="28" t="str">
        <x:v>Level 11 public stats included where verified; hidden fields (mass/collision/sight/projectile/splash) cross-checked against AesDragon hidden-stat tables. N/A means not applicable.</x:v>
      </x:c>
      <x:c r="Y26" s="28" t="str">
        <x:v>https://www.deckshop.pro/card/stats
https://www.deckshop.pro/card/hitpoints
https://deckmelon.com/cards/hog-rider
https://clashroyale.fandom.com/wiki/Hog_Rider</x:v>
      </x:c>
      <x:c r="Z26" s="28" t="str">
        <x:v>https://clashroyale.fandom.com/wiki/User_blog:AesDragon/Hidden_card_stats:_Mass
https://clashroyale.fandom.com/wiki/User_blog:AesDragon/Hidden_card_stats:_Collision_radius
https://clashroyale.fandom.com/wiki/User_blog:AesDragon/Hidden_card_stats:_Sight_range
https://clashroyale.fandom.com/wiki/User_blog:AesDragon/Hidden_card_stats:_Projectile_travel_speeds
https://clashroyale.fandom.com/wiki/User_blog:AesDragon/Hidden_card_stats:_Area_damage_radius</x:v>
      </x:c>
      <x:c r="AA26" s="28" t="str">
        <x:v>https://github.com/smlbiobot/cr-csv/blob/master/assets/csv_logic/characters.csv
https://github.com/smlbiobot/cr-csv/blob/master/assets/csv_logic/projectiles.csv</x:v>
      </x:c>
      <x:c r="AB26" s="28" t="str">
        <x:v>Current L11 from Deckmelon.</x:v>
      </x:c>
      <x:c r="AC26" t="str">
        <x:v>N/A</x:v>
      </x:c>
      <x:c r="AD26" t="str">
        <x:v>Single-target / no splash or AoE</x:v>
      </x:c>
    </x:row>
    <x:row r="27" ht="36" customHeight="1">
      <x:c r="A27" s="24" t="n">
        <x:v>26</x:v>
      </x:c>
      <x:c r="B27" s="22" t="str">
        <x:v>Three Musketeers</x:v>
      </x:c>
      <x:c r="C27" s="22" t="str">
        <x:v>Troop</x:v>
      </x:c>
      <x:c r="D27" s="22" t="str">
        <x:v>Rare</x:v>
      </x:c>
      <x:c r="E27" s="24" t="n">
        <x:v>9</x:v>
      </x:c>
      <x:c r="F27" s="20" t="str">
        <x:v>3</x:v>
      </x:c>
      <x:c r="G27" s="20" t="str">
        <x:v>Air &amp; ground</x:v>
      </x:c>
      <x:c r="H27" s="20" t="str">
        <x:v>Medium</x:v>
      </x:c>
      <x:c r="I27" s="26" t="n">
        <x:v>60</x:v>
      </x:c>
      <x:c r="J27" s="20" t="str">
        <x:v>6.0</x:v>
      </x:c>
      <x:c r="K27" s="20" t="n">
        <x:v>1</x:v>
      </x:c>
      <x:c r="L27" s="20" t="str">
        <x:v>1.0</x:v>
      </x:c>
      <x:c r="M27" s="20" t="str">
        <x:v>N/A</x:v>
      </x:c>
      <x:c r="N27" s="20" t="str">
        <x:v>721 per Musketeer</x:v>
      </x:c>
      <x:c r="O27" s="20"/>
      <x:c r="P27" s="20" t="str">
        <x:v>217 ×3</x:v>
      </x:c>
      <x:c r="Q27" s="20" t="str">
        <x:v>See damage/effect note</x:v>
      </x:c>
      <x:c r="R27" s="20" t="str">
        <x:v>MusketeerProjectile</x:v>
      </x:c>
      <x:c r="S27" s="20" t="str">
        <x:v>1000 attack</x:v>
      </x:c>
      <x:c r="T27" s="20" t="str">
        <x:v>5 per spawned unit</x:v>
      </x:c>
      <x:c r="U27" s="20" t="n">
        <x:v>0.5</x:v>
      </x:c>
      <x:c r="V27" s="20" t="n">
        <x:v>6</x:v>
      </x:c>
      <x:c r="W27" s="20" t="str">
        <x:v>Deploys three Musketeers; can be split; 9 elixir.</x:v>
      </x:c>
      <x:c r="X27" s="28" t="str">
        <x:v>Level 11 public stats included where verified; hidden fields (mass/collision/sight/projectile/splash) cross-checked against AesDragon hidden-stat tables. N/A means not applicable.</x:v>
      </x:c>
      <x:c r="Y27" s="28" t="str">
        <x:v>https://www.deckshop.pro/card/stats
https://www.deckshop.pro/card/hitpoints
https://deckmelon.com/cards/three-musketeers
https://clashroyale.fandom.com/wiki/Three_Musketeers
https://www.deckshop.pro/card/detail/musketeer</x:v>
      </x:c>
      <x:c r="Z27" s="28" t="str">
        <x:v>https://clashroyale.fandom.com/wiki/User_blog:AesDragon/Hidden_card_stats:_Mass
https://clashroyale.fandom.com/wiki/User_blog:AesDragon/Hidden_card_stats:_Collision_radius
https://clashroyale.fandom.com/wiki/User_blog:AesDragon/Hidden_card_stats:_Sight_range
https://clashroyale.fandom.com/wiki/User_blog:AesDragon/Hidden_card_stats:_Projectile_travel_speeds
https://clashroyale.fandom.com/wiki/User_blog:AesDragon/Hidden_card_stats:_Area_damage_radius</x:v>
      </x:c>
      <x:c r="AA27" s="28" t="str">
        <x:v>https://github.com/smlbiobot/cr-csv/blob/master/assets/csv_logic/characters.csv
https://github.com/smlbiobot/cr-csv/blob/master/assets/csv_logic/projectiles.csv</x:v>
      </x:c>
      <x:c r="AB27" s="28" t="str">
        <x:v>Updated to mirror Level 11 Musketeer stats.</x:v>
      </x:c>
      <x:c r="AC27" t="str">
        <x:v>N/A</x:v>
      </x:c>
      <x:c r="AD27" t="str">
        <x:v>Single-target / no splash or AoE</x:v>
      </x:c>
    </x:row>
    <x:row r="28" ht="36" customHeight="1">
      <x:c r="A28" s="24" t="n">
        <x:v>27</x:v>
      </x:c>
      <x:c r="B28" s="22" t="str">
        <x:v>Ice Golem</x:v>
      </x:c>
      <x:c r="C28" s="22" t="str">
        <x:v>Troop</x:v>
      </x:c>
      <x:c r="D28" s="22" t="str">
        <x:v>Rare</x:v>
      </x:c>
      <x:c r="E28" s="24" t="n">
        <x:v>2</x:v>
      </x:c>
      <x:c r="F28" s="20" t="str">
        <x:v>1</x:v>
      </x:c>
      <x:c r="G28" s="20" t="str">
        <x:v>Buildings</x:v>
      </x:c>
      <x:c r="H28" s="20" t="str">
        <x:v>Slow</x:v>
      </x:c>
      <x:c r="I28" s="26" t="n">
        <x:v>45</x:v>
      </x:c>
      <x:c r="J28" s="20" t="str">
        <x:v>0.75</x:v>
      </x:c>
      <x:c r="K28" s="20" t="n">
        <x:v>2.5</x:v>
      </x:c>
      <x:c r="L28" s="20" t="str">
        <x:v>1.0</x:v>
      </x:c>
      <x:c r="M28" s="20" t="str">
        <x:v>N/A</x:v>
      </x:c>
      <x:c r="N28" s="20" t="str">
        <x:v>1,318</x:v>
      </x:c>
      <x:c r="O28" s="20"/>
      <x:c r="P28" s="20" t="str">
        <x:v>84 death damage + slow</x:v>
      </x:c>
      <x:c r="Q28" s="20" t="str">
        <x:v>See damage/effect note</x:v>
      </x:c>
      <x:c r="R28" s="20" t="str">
        <x:v>Melee / no projectile</x:v>
      </x:c>
      <x:c r="S28" s="20" t="str">
        <x:v>—</x:v>
      </x:c>
      <x:c r="T28" s="20" t="n">
        <x:v>6</x:v>
      </x:c>
      <x:c r="U28" s="20" t="n">
        <x:v>0.7</x:v>
      </x:c>
      <x:c r="V28" s="20" t="n">
        <x:v>7</x:v>
      </x:c>
      <x:c r="W28" s="20" t="str">
        <x:v>Building-targeting kite tank; death nova slows/damages.</x:v>
      </x:c>
      <x:c r="X28" s="28" t="str">
        <x:v>Level 11 public stats included where verified; hidden fields (mass/collision/sight/projectile/splash) cross-checked against AesDragon hidden-stat tables. N/A means not applicable.</x:v>
      </x:c>
      <x:c r="Y28" s="28" t="str">
        <x:v>https://www.deckshop.pro/card/stats
https://www.deckshop.pro/card/hitpoints
https://deckmelon.com/cards/ice-golem
https://clashroyale.fandom.com/wiki/Ice_Golem
https://www.deckshop.pro/card/detail/ice-golem</x:v>
      </x:c>
      <x:c r="Z28" s="28" t="str">
        <x:v>https://clashroyale.fandom.com/wiki/User_blog:AesDragon/Hidden_card_stats:_Mass
https://clashroyale.fandom.com/wiki/User_blog:AesDragon/Hidden_card_stats:_Collision_radius
https://clashroyale.fandom.com/wiki/User_blog:AesDragon/Hidden_card_stats:_Sight_range
https://clashroyale.fandom.com/wiki/User_blog:AesDragon/Hidden_card_stats:_Projectile_travel_speeds
https://clashroyale.fandom.com/wiki/User_blog:AesDragon/Hidden_card_stats:_Area_damage_radius</x:v>
      </x:c>
      <x:c r="AA28" s="28" t="str">
        <x:v>https://github.com/smlbiobot/cr-csv/blob/master/assets/csv_logic/characters.csv
https://github.com/smlbiobot/cr-csv/blob/master/assets/csv_logic/projectiles.csv</x:v>
      </x:c>
      <x:c r="AB28" s="28" t="str">
        <x:v>Updated: L11 HP/death damage verified; death radius added.</x:v>
      </x:c>
      <x:c r="AC28" t="str">
        <x:v>2.0</x:v>
      </x:c>
      <x:c r="AD28" t="str">
        <x:v>360° death nova</x:v>
      </x:c>
    </x:row>
    <x:row r="29" ht="36" customHeight="1">
      <x:c r="A29" s="24" t="n">
        <x:v>28</x:v>
      </x:c>
      <x:c r="B29" s="22" t="str">
        <x:v>Dart Goblin</x:v>
      </x:c>
      <x:c r="C29" s="22" t="str">
        <x:v>Troop</x:v>
      </x:c>
      <x:c r="D29" s="22" t="str">
        <x:v>Rare</x:v>
      </x:c>
      <x:c r="E29" s="24" t="n">
        <x:v>3</x:v>
      </x:c>
      <x:c r="F29" s="20" t="str">
        <x:v>1</x:v>
      </x:c>
      <x:c r="G29" s="20" t="str">
        <x:v>Air &amp; ground</x:v>
      </x:c>
      <x:c r="H29" s="20" t="str">
        <x:v>Very Fast</x:v>
      </x:c>
      <x:c r="I29" s="26" t="n">
        <x:v>120</x:v>
      </x:c>
      <x:c r="J29" s="20" t="str">
        <x:v>6.5</x:v>
      </x:c>
      <x:c r="K29" s="20" t="n">
        <x:v>0.8</x:v>
      </x:c>
      <x:c r="L29" s="20" t="str">
        <x:v>1.0</x:v>
      </x:c>
      <x:c r="M29" s="20" t="str">
        <x:v>N/A</x:v>
      </x:c>
      <x:c r="N29" s="20" t="str">
        <x:v>260</x:v>
      </x:c>
      <x:c r="O29" s="20"/>
      <x:c r="P29" s="20" t="str">
        <x:v>156</x:v>
      </x:c>
      <x:c r="Q29" s="20" t="str">
        <x:v>See damage/effect note</x:v>
      </x:c>
      <x:c r="R29" s="20" t="str">
        <x:v>DartGoblin dart</x:v>
      </x:c>
      <x:c r="S29" s="20" t="str">
        <x:v>800 attack</x:v>
      </x:c>
      <x:c r="T29" s="20" t="n">
        <x:v>3</x:v>
      </x:c>
      <x:c r="U29" s="20" t="n">
        <x:v>0.5</x:v>
      </x:c>
      <x:c r="V29" s="20" t="n">
        <x:v>7.5</x:v>
      </x:c>
      <x:c r="W29" s="20" t="str">
        <x:v>Very long range, very fast ranged chip; fragile.</x:v>
      </x:c>
      <x:c r="X29" s="28" t="str">
        <x:v>Level 11 public stats included where verified; hidden fields (mass/collision/sight/projectile/splash) cross-checked against AesDragon hidden-stat tables. N/A means not applicable.</x:v>
      </x:c>
      <x:c r="Y29" s="28" t="str">
        <x:v>https://www.deckshop.pro/card/stats
https://www.deckshop.pro/card/hitpoints
https://deckmelon.com/cards/dart-goblin
https://clashroyale.fandom.com/wiki/Dart_Goblin</x:v>
      </x:c>
      <x:c r="Z29" s="28" t="str">
        <x:v>https://clashroyale.fandom.com/wiki/User_blog:AesDragon/Hidden_card_stats:_Mass
https://clashroyale.fandom.com/wiki/User_blog:AesDragon/Hidden_card_stats:_Collision_radius
https://clashroyale.fandom.com/wiki/User_blog:AesDragon/Hidden_card_stats:_Sight_range
https://clashroyale.fandom.com/wiki/User_blog:AesDragon/Hidden_card_stats:_Projectile_travel_speeds
https://clashroyale.fandom.com/wiki/User_blog:AesDragon/Hidden_card_stats:_Area_damage_radius</x:v>
      </x:c>
      <x:c r="AA29" s="28" t="str">
        <x:v>https://github.com/smlbiobot/cr-csv/blob/master/assets/csv_logic/characters.csv
https://github.com/smlbiobot/cr-csv/blob/master/assets/csv_logic/projectiles.csv</x:v>
      </x:c>
      <x:c r="AB29" s="28" t="str">
        <x:v>Current L11 from Deckmelon.</x:v>
      </x:c>
      <x:c r="AC29" t="str">
        <x:v>N/A</x:v>
      </x:c>
      <x:c r="AD29" t="str">
        <x:v>Single-target / no splash or AoE</x:v>
      </x:c>
    </x:row>
    <x:row r="30" ht="36" customHeight="1">
      <x:c r="A30" s="24" t="n">
        <x:v>29</x:v>
      </x:c>
      <x:c r="B30" s="22" t="str">
        <x:v>Zappies</x:v>
      </x:c>
      <x:c r="C30" s="22" t="str">
        <x:v>Troop</x:v>
      </x:c>
      <x:c r="D30" s="22" t="str">
        <x:v>Rare</x:v>
      </x:c>
      <x:c r="E30" s="24" t="n">
        <x:v>4</x:v>
      </x:c>
      <x:c r="F30" s="20" t="str">
        <x:v>3</x:v>
      </x:c>
      <x:c r="G30" s="20" t="str">
        <x:v>Air &amp; ground</x:v>
      </x:c>
      <x:c r="H30" s="20" t="str">
        <x:v>Medium</x:v>
      </x:c>
      <x:c r="I30" s="26" t="n">
        <x:v>60</x:v>
      </x:c>
      <x:c r="J30" s="20" t="str">
        <x:v>4.5</x:v>
      </x:c>
      <x:c r="K30" s="20" t="n">
        <x:v>2.1</x:v>
      </x:c>
      <x:c r="L30" s="20" t="str">
        <x:v>1.0</x:v>
      </x:c>
      <x:c r="M30" s="20" t="str">
        <x:v>N/A</x:v>
      </x:c>
      <x:c r="N30" s="20" t="str">
        <x:v>529 per Zappy</x:v>
      </x:c>
      <x:c r="O30" s="20"/>
      <x:c r="P30" s="20" t="str">
        <x:v>117 per Zappy ×3</x:v>
      </x:c>
      <x:c r="Q30" s="20" t="str">
        <x:v>See damage/effect note</x:v>
      </x:c>
      <x:c r="R30" s="20" t="str">
        <x:v>Melee / no projectile</x:v>
      </x:c>
      <x:c r="S30" s="20" t="str">
        <x:v>—</x:v>
      </x:c>
      <x:c r="T30" s="20" t="n">
        <x:v>4</x:v>
      </x:c>
      <x:c r="U30" s="20" t="n">
        <x:v>0.6</x:v>
      </x:c>
      <x:c r="V30" s="20" t="n">
        <x:v>5</x:v>
      </x:c>
      <x:c r="W30" s="20" t="str">
        <x:v>Three stun attackers; reset Inferno/Sparky-style effects.</x:v>
      </x:c>
      <x:c r="X30" s="28" t="str">
        <x:v>Level 11 public stats included where verified; hidden fields (mass/collision/sight/projectile/splash) cross-checked against AesDragon hidden-stat tables. N/A means not applicable.</x:v>
      </x:c>
      <x:c r="Y30" s="28" t="str">
        <x:v>https://www.deckshop.pro/card/stats
https://www.deckshop.pro/card/hitpoints
https://deckmelon.com/cards/zappies
https://clashroyale.fandom.com/wiki/Zappies
https://www.deckshop.pro/card/detail/zappies</x:v>
      </x:c>
      <x:c r="Z30" s="28" t="str">
        <x:v>https://clashroyale.fandom.com/wiki/User_blog:AesDragon/Hidden_card_stats:_Mass
https://clashroyale.fandom.com/wiki/User_blog:AesDragon/Hidden_card_stats:_Collision_radius
https://clashroyale.fandom.com/wiki/User_blog:AesDragon/Hidden_card_stats:_Sight_range
https://clashroyale.fandom.com/wiki/User_blog:AesDragon/Hidden_card_stats:_Projectile_travel_speeds
https://clashroyale.fandom.com/wiki/User_blog:AesDragon/Hidden_card_stats:_Area_damage_radius</x:v>
      </x:c>
      <x:c r="AA30" s="28" t="str">
        <x:v>https://github.com/smlbiobot/cr-csv/blob/master/assets/csv_logic/characters.csv
https://github.com/smlbiobot/cr-csv/blob/master/assets/csv_logic/projectiles.csv</x:v>
      </x:c>
      <x:c r="AB30" s="28" t="str">
        <x:v>Updated: L11 HP/damage verified.</x:v>
      </x:c>
      <x:c r="AC30" t="str">
        <x:v>N/A</x:v>
      </x:c>
      <x:c r="AD30" t="str">
        <x:v>Single-target / no splash or AoE</x:v>
      </x:c>
    </x:row>
    <x:row r="31" ht="36" customHeight="1">
      <x:c r="A31" s="24" t="n">
        <x:v>30</x:v>
      </x:c>
      <x:c r="B31" s="22" t="str">
        <x:v>Guards</x:v>
      </x:c>
      <x:c r="C31" s="22" t="str">
        <x:v>Troop</x:v>
      </x:c>
      <x:c r="D31" s="22" t="str">
        <x:v>Epic</x:v>
      </x:c>
      <x:c r="E31" s="24" t="n">
        <x:v>3</x:v>
      </x:c>
      <x:c r="F31" s="20" t="str">
        <x:v>3</x:v>
      </x:c>
      <x:c r="G31" s="20" t="str">
        <x:v>Ground</x:v>
      </x:c>
      <x:c r="H31" s="20" t="str">
        <x:v>Fast</x:v>
      </x:c>
      <x:c r="I31" s="26" t="n">
        <x:v>90</x:v>
      </x:c>
      <x:c r="J31" s="20" t="str">
        <x:v>1.6</x:v>
      </x:c>
      <x:c r="K31" s="20" t="n">
        <x:v>1</x:v>
      </x:c>
      <x:c r="L31" s="20" t="str">
        <x:v>1.0</x:v>
      </x:c>
      <x:c r="M31" s="20" t="str">
        <x:v>N/A</x:v>
      </x:c>
      <x:c r="N31" s="20" t="str">
        <x:v>81 + 256 shield</x:v>
      </x:c>
      <x:c r="O31" s="20" t="str">
        <x:v>256 per Guard</x:v>
      </x:c>
      <x:c r="P31" s="20" t="str">
        <x:v>117 per Guard</x:v>
      </x:c>
      <x:c r="Q31" s="20" t="str">
        <x:v>See damage/effect note</x:v>
      </x:c>
      <x:c r="R31" s="20" t="str">
        <x:v>Melee / no projectile</x:v>
      </x:c>
      <x:c r="S31" s="20" t="str">
        <x:v>—</x:v>
      </x:c>
      <x:c r="T31" s="20" t="n">
        <x:v>1</x:v>
      </x:c>
      <x:c r="U31" s="20" t="n">
        <x:v>0.5</x:v>
      </x:c>
      <x:c r="V31" s="20" t="n">
        <x:v>5.5</x:v>
      </x:c>
      <x:c r="W31" s="20" t="str">
        <x:v>Three shielded melee units with long melee range.</x:v>
      </x:c>
      <x:c r="X31" s="28" t="str">
        <x:v>Level 11 public stats included where verified; hidden fields (mass/collision/sight/projectile/splash) cross-checked against AesDragon hidden-stat tables. N/A means not applicable.</x:v>
      </x:c>
      <x:c r="Y31" s="28" t="str">
        <x:v>https://www.deckshop.pro/card/stats
https://www.deckshop.pro/card/hitpoints
https://deckmelon.com/cards/guards
https://clashroyale.fandom.com/wiki/Guards</x:v>
      </x:c>
      <x:c r="Z31" s="28" t="str">
        <x:v>https://clashroyale.fandom.com/wiki/User_blog:AesDragon/Hidden_card_stats:_Mass
https://clashroyale.fandom.com/wiki/User_blog:AesDragon/Hidden_card_stats:_Collision_radius
https://clashroyale.fandom.com/wiki/User_blog:AesDragon/Hidden_card_stats:_Sight_range
https://clashroyale.fandom.com/wiki/User_blog:AesDragon/Hidden_card_stats:_Projectile_travel_speeds
https://clashroyale.fandom.com/wiki/User_blog:AesDragon/Hidden_card_stats:_Area_damage_radius</x:v>
      </x:c>
      <x:c r="AA31" s="28" t="str">
        <x:v>https://github.com/smlbiobot/cr-csv/blob/master/assets/csv_logic/characters.csv
https://github.com/smlbiobot/cr-csv/blob/master/assets/csv_logic/projectiles.csv</x:v>
      </x:c>
      <x:c r="AB31" s="28" t="str">
        <x:v>Current L11 from Deckmelon.</x:v>
      </x:c>
      <x:c r="AC31" t="str">
        <x:v>N/A</x:v>
      </x:c>
      <x:c r="AD31" t="str">
        <x:v>Single-target / no splash or AoE</x:v>
      </x:c>
    </x:row>
    <x:row r="32" ht="36" customHeight="1">
      <x:c r="A32" s="24" t="n">
        <x:v>31</x:v>
      </x:c>
      <x:c r="B32" s="22" t="str">
        <x:v>Baby Dragon</x:v>
      </x:c>
      <x:c r="C32" s="22" t="str">
        <x:v>Troop</x:v>
      </x:c>
      <x:c r="D32" s="22" t="str">
        <x:v>Epic</x:v>
      </x:c>
      <x:c r="E32" s="24" t="n">
        <x:v>4</x:v>
      </x:c>
      <x:c r="F32" s="20" t="str">
        <x:v>1</x:v>
      </x:c>
      <x:c r="G32" s="20" t="str">
        <x:v>Air &amp; ground</x:v>
      </x:c>
      <x:c r="H32" s="20" t="str">
        <x:v>Fast</x:v>
      </x:c>
      <x:c r="I32" s="26" t="n">
        <x:v>90</x:v>
      </x:c>
      <x:c r="J32" s="20" t="str">
        <x:v>3.5</x:v>
      </x:c>
      <x:c r="K32" s="20" t="n">
        <x:v>1.5</x:v>
      </x:c>
      <x:c r="L32" s="20" t="str">
        <x:v>1.0</x:v>
      </x:c>
      <x:c r="M32" s="20" t="str">
        <x:v>N/A</x:v>
      </x:c>
      <x:c r="N32" s="20" t="str">
        <x:v>1,152</x:v>
      </x:c>
      <x:c r="O32" s="20"/>
      <x:c r="P32" s="20" t="str">
        <x:v>161 area</x:v>
      </x:c>
      <x:c r="Q32" s="20" t="str">
        <x:v>See damage/effect note</x:v>
      </x:c>
      <x:c r="R32" s="20" t="str">
        <x:v>BabyDragonProjectile</x:v>
      </x:c>
      <x:c r="S32" s="20" t="str">
        <x:v>1000 attack</x:v>
      </x:c>
      <x:c r="T32" s="20" t="n">
        <x:v>5</x:v>
      </x:c>
      <x:c r="U32" s="20" t="n">
        <x:v>0.5</x:v>
      </x:c>
      <x:c r="V32" s="20" t="n">
        <x:v>5.5</x:v>
      </x:c>
      <x:c r="W32" s="20" t="str">
        <x:v>Flying splash attacker; air/ground.</x:v>
      </x:c>
      <x:c r="X32" s="28" t="str">
        <x:v>Level 11 public stats included where verified; hidden fields (mass/collision/sight/projectile/splash) cross-checked against AesDragon hidden-stat tables. N/A means not applicable.</x:v>
      </x:c>
      <x:c r="Y32" s="28" t="str">
        <x:v>https://www.deckshop.pro/card/stats
https://www.deckshop.pro/card/hitpoints
https://deckmelon.com/cards/baby-dragon
https://clashroyale.fandom.com/wiki/Baby_Dragon
https://www.deckshop.pro/card/detail/baby-dragon</x:v>
      </x:c>
      <x:c r="Z32" s="28" t="str">
        <x:v>https://clashroyale.fandom.com/wiki/User_blog:AesDragon/Hidden_card_stats:_Mass
https://clashroyale.fandom.com/wiki/User_blog:AesDragon/Hidden_card_stats:_Collision_radius
https://clashroyale.fandom.com/wiki/User_blog:AesDragon/Hidden_card_stats:_Sight_range
https://clashroyale.fandom.com/wiki/User_blog:AesDragon/Hidden_card_stats:_Projectile_travel_speeds
https://clashroyale.fandom.com/wiki/User_blog:AesDragon/Hidden_card_stats:_Area_damage_radius</x:v>
      </x:c>
      <x:c r="AA32" s="28" t="str">
        <x:v>https://github.com/smlbiobot/cr-csv/blob/master/assets/csv_logic/characters.csv
https://github.com/smlbiobot/cr-csv/blob/master/assets/csv_logic/projectiles.csv</x:v>
      </x:c>
      <x:c r="AB32" s="28" t="str">
        <x:v>Updated: L11 HP/damage verified; splash radius added.</x:v>
      </x:c>
      <x:c r="AC32" t="str">
        <x:v>1.2</x:v>
      </x:c>
      <x:c r="AD32" t="str">
        <x:v>Homing projectile splash</x:v>
      </x:c>
    </x:row>
    <x:row r="33" ht="36" customHeight="1">
      <x:c r="A33" s="24" t="n">
        <x:v>32</x:v>
      </x:c>
      <x:c r="B33" s="22" t="str">
        <x:v>Skeleton Army</x:v>
      </x:c>
      <x:c r="C33" s="22" t="str">
        <x:v>Troop</x:v>
      </x:c>
      <x:c r="D33" s="22" t="str">
        <x:v>Epic</x:v>
      </x:c>
      <x:c r="E33" s="24" t="n">
        <x:v>3</x:v>
      </x:c>
      <x:c r="F33" s="20" t="str">
        <x:v>15</x:v>
      </x:c>
      <x:c r="G33" s="20" t="str">
        <x:v>Ground</x:v>
      </x:c>
      <x:c r="H33" s="20" t="str">
        <x:v>N/A</x:v>
      </x:c>
      <x:c r="I33" s="26" t="str">
        <x:v>N/A</x:v>
      </x:c>
      <x:c r="J33" s="20" t="str">
        <x:v>0.5</x:v>
      </x:c>
      <x:c r="K33" s="20" t="n">
        <x:v>1</x:v>
      </x:c>
      <x:c r="L33" s="20" t="str">
        <x:v>1.0</x:v>
      </x:c>
      <x:c r="M33" s="20" t="str">
        <x:v>N/A</x:v>
      </x:c>
      <x:c r="N33" s="20" t="str">
        <x:v>81 per Skeleton</x:v>
      </x:c>
      <x:c r="O33" s="20"/>
      <x:c r="P33" s="20" t="str">
        <x:v>81 per Skeleton</x:v>
      </x:c>
      <x:c r="Q33" s="20" t="str">
        <x:v>See damage/effect note</x:v>
      </x:c>
      <x:c r="R33" s="20" t="str">
        <x:v>Melee / no projectile</x:v>
      </x:c>
      <x:c r="S33" s="20" t="str">
        <x:v>—</x:v>
      </x:c>
      <x:c r="T33" s="20" t="str">
        <x:v>1 per spawned unit</x:v>
      </x:c>
      <x:c r="U33" s="20" t="n">
        <x:v>0.5</x:v>
      </x:c>
      <x:c r="V33" s="20" t="n">
        <x:v>5.5</x:v>
      </x:c>
      <x:c r="W33" s="20" t="str">
        <x:v>Large swarm of Skeletons; high distraction/DPS.</x:v>
      </x:c>
      <x:c r="X33" s="28" t="str">
        <x:v>Level 11 public stats included where verified; hidden fields (mass/collision/sight/projectile/splash) cross-checked against AesDragon hidden-stat tables. N/A means not applicable.</x:v>
      </x:c>
      <x:c r="Y33" s="28" t="str">
        <x:v>https://www.deckshop.pro/card/stats
https://www.deckshop.pro/card/hitpoints
https://deckmelon.com/cards/skeleton-army
https://clashroyale.fandom.com/wiki/Skeleton_Army</x:v>
      </x:c>
      <x:c r="Z33" s="28" t="str">
        <x:v>https://clashroyale.fandom.com/wiki/User_blog:AesDragon/Hidden_card_stats:_Mass
https://clashroyale.fandom.com/wiki/User_blog:AesDragon/Hidden_card_stats:_Collision_radius
https://clashroyale.fandom.com/wiki/User_blog:AesDragon/Hidden_card_stats:_Sight_range
https://clashroyale.fandom.com/wiki/User_blog:AesDragon/Hidden_card_stats:_Projectile_travel_speeds
https://clashroyale.fandom.com/wiki/User_blog:AesDragon/Hidden_card_stats:_Area_damage_radius</x:v>
      </x:c>
      <x:c r="AA33" s="28" t="str">
        <x:v>https://github.com/smlbiobot/cr-csv/blob/master/assets/csv_logic/characters.csv
https://github.com/smlbiobot/cr-csv/blob/master/assets/csv_logic/projectiles.csv</x:v>
      </x:c>
      <x:c r="AB33" s="28" t="str">
        <x:v>Same as Skeletons; 15 total.</x:v>
      </x:c>
      <x:c r="AC33" t="str">
        <x:v>N/A</x:v>
      </x:c>
      <x:c r="AD33" t="str">
        <x:v>Single-target / no splash or AoE</x:v>
      </x:c>
    </x:row>
    <x:row r="34" ht="36" customHeight="1">
      <x:c r="A34" s="24" t="n">
        <x:v>33</x:v>
      </x:c>
      <x:c r="B34" s="22" t="str">
        <x:v>Witch</x:v>
      </x:c>
      <x:c r="C34" s="22" t="str">
        <x:v>Troop</x:v>
      </x:c>
      <x:c r="D34" s="22" t="str">
        <x:v>Epic</x:v>
      </x:c>
      <x:c r="E34" s="24" t="n">
        <x:v>5</x:v>
      </x:c>
      <x:c r="F34" s="20" t="str">
        <x:v>1 + Skeleton spawns</x:v>
      </x:c>
      <x:c r="G34" s="20" t="str">
        <x:v>Air &amp; ground</x:v>
      </x:c>
      <x:c r="H34" s="20" t="str">
        <x:v>Medium</x:v>
      </x:c>
      <x:c r="I34" s="26" t="n">
        <x:v>60</x:v>
      </x:c>
      <x:c r="J34" s="20" t="str">
        <x:v>5.5</x:v>
      </x:c>
      <x:c r="K34" s="20" t="n">
        <x:v>1.1</x:v>
      </x:c>
      <x:c r="L34" s="20" t="str">
        <x:v>1.0</x:v>
      </x:c>
      <x:c r="M34" s="20" t="str">
        <x:v>N/A</x:v>
      </x:c>
      <x:c r="N34" s="20" t="str">
        <x:v>839; Skeletons 81 HP</x:v>
      </x:c>
      <x:c r="O34" s="20"/>
      <x:c r="P34" s="20" t="str">
        <x:v>135 area; Skeletons 81 damage</x:v>
      </x:c>
      <x:c r="Q34" s="20" t="str">
        <x:v>See damage/effect note</x:v>
      </x:c>
      <x:c r="R34" s="20" t="str">
        <x:v>Attack projectile</x:v>
      </x:c>
      <x:c r="S34" s="20" t="str">
        <x:v>600 attack</x:v>
      </x:c>
      <x:c r="T34" s="20" t="n">
        <x:v>8</x:v>
      </x:c>
      <x:c r="U34" s="20" t="n">
        <x:v>0.5</x:v>
      </x:c>
      <x:c r="V34" s="20" t="n">
        <x:v>5.5</x:v>
      </x:c>
      <x:c r="W34" s="20" t="str">
        <x:v>Splash support that periodically summons Skeletons.</x:v>
      </x:c>
      <x:c r="X34" s="28" t="str">
        <x:v>Level 11 public stats included where verified; hidden fields (mass/collision/sight/projectile/splash) cross-checked against AesDragon hidden-stat tables. N/A means not applicable.</x:v>
      </x:c>
      <x:c r="Y34" s="28" t="str">
        <x:v>https://www.deckshop.pro/card/stats
https://www.deckshop.pro/card/hitpoints
https://deckmelon.com/cards/witch
https://clashroyale.fandom.com/wiki/Witch
https://www.deckshop.pro/card/detail/witch</x:v>
      </x:c>
      <x:c r="Z34" s="28" t="str">
        <x:v>https://clashroyale.fandom.com/wiki/User_blog:AesDragon/Hidden_card_stats:_Mass
https://clashroyale.fandom.com/wiki/User_blog:AesDragon/Hidden_card_stats:_Collision_radius
https://clashroyale.fandom.com/wiki/User_blog:AesDragon/Hidden_card_stats:_Sight_range
https://clashroyale.fandom.com/wiki/User_blog:AesDragon/Hidden_card_stats:_Projectile_travel_speeds
https://clashroyale.fandom.com/wiki/User_blog:AesDragon/Hidden_card_stats:_Area_damage_radius</x:v>
      </x:c>
      <x:c r="AA34" s="28" t="str">
        <x:v>https://github.com/smlbiobot/cr-csv/blob/master/assets/csv_logic/characters.csv
https://github.com/smlbiobot/cr-csv/blob/master/assets/csv_logic/projectiles.csv</x:v>
      </x:c>
      <x:c r="AB34" s="28" t="str">
        <x:v>Updated: L11 Witch and spawned Skeleton stats verified.</x:v>
      </x:c>
      <x:c r="AC34" t="str">
        <x:v>1.0</x:v>
      </x:c>
      <x:c r="AD34" t="str">
        <x:v>Non-homing projectile splash</x:v>
      </x:c>
    </x:row>
    <x:row r="35" ht="36" customHeight="1">
      <x:c r="A35" s="24" t="n">
        <x:v>34</x:v>
      </x:c>
      <x:c r="B35" s="22" t="str">
        <x:v>P.E.K.K.A</x:v>
      </x:c>
      <x:c r="C35" s="22" t="str">
        <x:v>Troop</x:v>
      </x:c>
      <x:c r="D35" s="22" t="str">
        <x:v>Epic</x:v>
      </x:c>
      <x:c r="E35" s="24" t="n">
        <x:v>7</x:v>
      </x:c>
      <x:c r="F35" s="20" t="str">
        <x:v>1</x:v>
      </x:c>
      <x:c r="G35" s="20" t="str">
        <x:v>Ground</x:v>
      </x:c>
      <x:c r="H35" s="20" t="str">
        <x:v>Slow</x:v>
      </x:c>
      <x:c r="I35" s="26" t="n">
        <x:v>45</x:v>
      </x:c>
      <x:c r="J35" s="20" t="str">
        <x:v>1.2</x:v>
      </x:c>
      <x:c r="K35" s="20" t="n">
        <x:v>1.8</x:v>
      </x:c>
      <x:c r="L35" s="20" t="str">
        <x:v>1.0</x:v>
      </x:c>
      <x:c r="M35" s="20" t="str">
        <x:v>N/A</x:v>
      </x:c>
      <x:c r="N35" s="20" t="str">
        <x:v>3,760</x:v>
      </x:c>
      <x:c r="O35" s="20"/>
      <x:c r="P35" s="20" t="str">
        <x:v>816</x:v>
      </x:c>
      <x:c r="Q35" s="20" t="str">
        <x:v>See damage/effect note</x:v>
      </x:c>
      <x:c r="R35" s="20" t="str">
        <x:v>Melee / no projectile</x:v>
      </x:c>
      <x:c r="S35" s="20" t="str">
        <x:v>—</x:v>
      </x:c>
      <x:c r="T35" s="20" t="n">
        <x:v>18</x:v>
      </x:c>
      <x:c r="U35" s="20" t="n">
        <x:v>0.75</x:v>
      </x:c>
      <x:c r="V35" s="20" t="n">
        <x:v>5</x:v>
      </x:c>
      <x:c r="W35" s="20" t="str">
        <x:v>Slow heavy single-target ground damage.</x:v>
      </x:c>
      <x:c r="X35" s="28" t="str">
        <x:v>Level 11 public stats included where verified; hidden fields (mass/collision/sight/projectile/splash) cross-checked against AesDragon hidden-stat tables. N/A means not applicable.</x:v>
      </x:c>
      <x:c r="Y35" s="28" t="str">
        <x:v>https://www.deckshop.pro/card/stats
https://www.deckshop.pro/card/hitpoints
https://deckmelon.com/cards/pekka
https://clashroyale.fandom.com/wiki/P.E.K.K.A</x:v>
      </x:c>
      <x:c r="Z35" s="28" t="str">
        <x:v>https://clashroyale.fandom.com/wiki/User_blog:AesDragon/Hidden_card_stats:_Mass
https://clashroyale.fandom.com/wiki/User_blog:AesDragon/Hidden_card_stats:_Collision_radius
https://clashroyale.fandom.com/wiki/User_blog:AesDragon/Hidden_card_stats:_Sight_range
https://clashroyale.fandom.com/wiki/User_blog:AesDragon/Hidden_card_stats:_Projectile_travel_speeds
https://clashroyale.fandom.com/wiki/User_blog:AesDragon/Hidden_card_stats:_Area_damage_radius</x:v>
      </x:c>
      <x:c r="AA35" s="28" t="str">
        <x:v>https://github.com/smlbiobot/cr-csv/blob/master/assets/csv_logic/characters.csv
https://github.com/smlbiobot/cr-csv/blob/master/assets/csv_logic/projectiles.csv</x:v>
      </x:c>
      <x:c r="AB35" s="28" t="str">
        <x:v>Current L11 from Deckmelon.</x:v>
      </x:c>
      <x:c r="AC35" t="str">
        <x:v>N/A</x:v>
      </x:c>
      <x:c r="AD35" t="str">
        <x:v>Single-target / no splash or AoE</x:v>
      </x:c>
    </x:row>
    <x:row r="36" ht="36" customHeight="1">
      <x:c r="A36" s="24" t="n">
        <x:v>35</x:v>
      </x:c>
      <x:c r="B36" s="22" t="str">
        <x:v>Dark Prince</x:v>
      </x:c>
      <x:c r="C36" s="22" t="str">
        <x:v>Troop</x:v>
      </x:c>
      <x:c r="D36" s="22" t="str">
        <x:v>Epic</x:v>
      </x:c>
      <x:c r="E36" s="24" t="n">
        <x:v>4</x:v>
      </x:c>
      <x:c r="F36" s="20" t="str">
        <x:v>1</x:v>
      </x:c>
      <x:c r="G36" s="20" t="str">
        <x:v>Ground</x:v>
      </x:c>
      <x:c r="H36" s="20" t="str">
        <x:v>Medium</x:v>
      </x:c>
      <x:c r="I36" s="26" t="n">
        <x:v>60</x:v>
      </x:c>
      <x:c r="J36" s="20" t="str">
        <x:v>1.2</x:v>
      </x:c>
      <x:c r="K36" s="20" t="n">
        <x:v>1.3</x:v>
      </x:c>
      <x:c r="L36" s="20" t="str">
        <x:v>1.0</x:v>
      </x:c>
      <x:c r="M36" s="20" t="str">
        <x:v>N/A</x:v>
      </x:c>
      <x:c r="N36" s="20" t="str">
        <x:v>1,200 + 240 shield</x:v>
      </x:c>
      <x:c r="O36" s="20" t="str">
        <x:v>240</x:v>
      </x:c>
      <x:c r="P36" s="20" t="str">
        <x:v>266 area / charge doubles</x:v>
      </x:c>
      <x:c r="Q36" s="20" t="str">
        <x:v>See damage/effect note</x:v>
      </x:c>
      <x:c r="R36" s="20" t="str">
        <x:v>Melee / no projectile</x:v>
      </x:c>
      <x:c r="S36" s="20" t="str">
        <x:v>—</x:v>
      </x:c>
      <x:c r="T36" s="20" t="n">
        <x:v>6</x:v>
      </x:c>
      <x:c r="U36" s="20" t="n">
        <x:v>0.75</x:v>
      </x:c>
      <x:c r="V36" s="20" t="n">
        <x:v>5.5</x:v>
      </x:c>
      <x:c r="W36" s="20" t="str">
        <x:v>Shielded splash charger; charge damage doubles.</x:v>
      </x:c>
      <x:c r="X36" s="28" t="str">
        <x:v>Level 11 public stats included where verified; hidden fields (mass/collision/sight/projectile/splash) cross-checked against AesDragon hidden-stat tables. N/A means not applicable.</x:v>
      </x:c>
      <x:c r="Y36" s="28" t="str">
        <x:v>https://www.deckshop.pro/card/stats
https://www.deckshop.pro/card/hitpoints
https://deckmelon.com/cards/dark-prince
https://clashroyale.fandom.com/wiki/Dark_Prince</x:v>
      </x:c>
      <x:c r="Z36" s="28" t="str">
        <x:v>https://clashroyale.fandom.com/wiki/User_blog:AesDragon/Hidden_card_stats:_Mass
https://clashroyale.fandom.com/wiki/User_blog:AesDragon/Hidden_card_stats:_Collision_radius
https://clashroyale.fandom.com/wiki/User_blog:AesDragon/Hidden_card_stats:_Sight_range
https://clashroyale.fandom.com/wiki/User_blog:AesDragon/Hidden_card_stats:_Projectile_travel_speeds
https://clashroyale.fandom.com/wiki/User_blog:AesDragon/Hidden_card_stats:_Area_damage_radius</x:v>
      </x:c>
      <x:c r="AA36" s="28" t="str">
        <x:v>https://github.com/smlbiobot/cr-csv/blob/master/assets/csv_logic/characters.csv
https://github.com/smlbiobot/cr-csv/blob/master/assets/csv_logic/projectiles.csv</x:v>
      </x:c>
      <x:c r="AB36" s="28" t="str">
        <x:v>Current L11 from Deckshop snippet.</x:v>
      </x:c>
      <x:c r="AC36" t="str">
        <x:v>1.1 regular / 2.2 charge</x:v>
      </x:c>
      <x:c r="AD36" t="str">
        <x:v>Regular splash / 360° charge splash</x:v>
      </x:c>
    </x:row>
    <x:row r="37" ht="36" customHeight="1">
      <x:c r="A37" s="24" t="n">
        <x:v>36</x:v>
      </x:c>
      <x:c r="B37" s="22" t="str">
        <x:v>Prince</x:v>
      </x:c>
      <x:c r="C37" s="22" t="str">
        <x:v>Troop</x:v>
      </x:c>
      <x:c r="D37" s="22" t="str">
        <x:v>Epic</x:v>
      </x:c>
      <x:c r="E37" s="24" t="n">
        <x:v>5</x:v>
      </x:c>
      <x:c r="F37" s="20" t="str">
        <x:v>1</x:v>
      </x:c>
      <x:c r="G37" s="20" t="str">
        <x:v>Ground</x:v>
      </x:c>
      <x:c r="H37" s="20" t="str">
        <x:v>Medium</x:v>
      </x:c>
      <x:c r="I37" s="26" t="n">
        <x:v>60</x:v>
      </x:c>
      <x:c r="J37" s="20" t="str">
        <x:v>1.6</x:v>
      </x:c>
      <x:c r="K37" s="20" t="n">
        <x:v>1.4</x:v>
      </x:c>
      <x:c r="L37" s="20" t="str">
        <x:v>1.0</x:v>
      </x:c>
      <x:c r="M37" s="20" t="str">
        <x:v>N/A</x:v>
      </x:c>
      <x:c r="N37" s="20" t="str">
        <x:v>1,920</x:v>
      </x:c>
      <x:c r="O37" s="20"/>
      <x:c r="P37" s="20" t="str">
        <x:v>391 / 783 charge</x:v>
      </x:c>
      <x:c r="Q37" s="20" t="str">
        <x:v>See damage/effect note</x:v>
      </x:c>
      <x:c r="R37" s="20" t="str">
        <x:v>Melee / no projectile</x:v>
      </x:c>
      <x:c r="S37" s="20" t="str">
        <x:v>—</x:v>
      </x:c>
      <x:c r="T37" s="20" t="n">
        <x:v>6</x:v>
      </x:c>
      <x:c r="U37" s="20" t="n">
        <x:v>0.65</x:v>
      </x:c>
      <x:c r="V37" s="20" t="n">
        <x:v>5.5</x:v>
      </x:c>
      <x:c r="W37" s="20" t="str">
        <x:v>Single-target charger; charge damage doubles.</x:v>
      </x:c>
      <x:c r="X37" s="28" t="str">
        <x:v>Level 11 public stats included where verified; hidden fields (mass/collision/sight/projectile/splash) cross-checked against AesDragon hidden-stat tables. N/A means not applicable.</x:v>
      </x:c>
      <x:c r="Y37" s="28" t="str">
        <x:v>https://www.deckshop.pro/card/stats
https://www.deckshop.pro/card/hitpoints
https://deckmelon.com/cards/prince
https://clashroyale.fandom.com/wiki/Prince
https://www.deckshop.pro/card/detail/prince</x:v>
      </x:c>
      <x:c r="Z37" s="28" t="str">
        <x:v>https://clashroyale.fandom.com/wiki/User_blog:AesDragon/Hidden_card_stats:_Mass
https://clashroyale.fandom.com/wiki/User_blog:AesDragon/Hidden_card_stats:_Collision_radius
https://clashroyale.fandom.com/wiki/User_blog:AesDragon/Hidden_card_stats:_Sight_range
https://clashroyale.fandom.com/wiki/User_blog:AesDragon/Hidden_card_stats:_Projectile_travel_speeds
https://clashroyale.fandom.com/wiki/User_blog:AesDragon/Hidden_card_stats:_Area_damage_radius</x:v>
      </x:c>
      <x:c r="AA37" s="28" t="str">
        <x:v>https://github.com/smlbiobot/cr-csv/blob/master/assets/csv_logic/characters.csv
https://github.com/smlbiobot/cr-csv/blob/master/assets/csv_logic/projectiles.csv</x:v>
      </x:c>
      <x:c r="AB37" s="28" t="str">
        <x:v>Updated: L11 HP/damage and charge damage verified.</x:v>
      </x:c>
      <x:c r="AC37" t="str">
        <x:v>N/A</x:v>
      </x:c>
      <x:c r="AD37" t="str">
        <x:v>Single-target / no splash or AoE</x:v>
      </x:c>
    </x:row>
    <x:row r="38" ht="36" customHeight="1">
      <x:c r="A38" s="24" t="n">
        <x:v>37</x:v>
      </x:c>
      <x:c r="B38" s="22" t="str">
        <x:v>Balloon</x:v>
      </x:c>
      <x:c r="C38" s="22" t="str">
        <x:v>Troop</x:v>
      </x:c>
      <x:c r="D38" s="22" t="str">
        <x:v>Epic</x:v>
      </x:c>
      <x:c r="E38" s="24" t="n">
        <x:v>5</x:v>
      </x:c>
      <x:c r="F38" s="20" t="str">
        <x:v>1</x:v>
      </x:c>
      <x:c r="G38" s="20" t="str">
        <x:v>Buildings</x:v>
      </x:c>
      <x:c r="H38" s="20" t="str">
        <x:v>Medium</x:v>
      </x:c>
      <x:c r="I38" s="26" t="n">
        <x:v>60</x:v>
      </x:c>
      <x:c r="J38" s="20" t="str">
        <x:v>0.1</x:v>
      </x:c>
      <x:c r="K38" s="20" t="n">
        <x:v>2</x:v>
      </x:c>
      <x:c r="L38" s="20" t="str">
        <x:v>1.0</x:v>
      </x:c>
      <x:c r="M38" s="20" t="str">
        <x:v>N/A</x:v>
      </x:c>
      <x:c r="N38" s="20" t="str">
        <x:v>1,679</x:v>
      </x:c>
      <x:c r="O38" s="20"/>
      <x:c r="P38" s="20" t="str">
        <x:v>640 building damage; 240 death damage</x:v>
      </x:c>
      <x:c r="Q38" s="20" t="str">
        <x:v>See damage/effect note</x:v>
      </x:c>
      <x:c r="R38" s="20" t="str">
        <x:v>Melee / no projectile</x:v>
      </x:c>
      <x:c r="S38" s="20" t="str">
        <x:v>—</x:v>
      </x:c>
      <x:c r="T38" s="20" t="n">
        <x:v>6</x:v>
      </x:c>
      <x:c r="U38" s="20" t="n">
        <x:v>0.3</x:v>
      </x:c>
      <x:c r="V38" s="20" t="n">
        <x:v>7.7</x:v>
      </x:c>
      <x:c r="W38" s="20" t="str">
        <x:v>Flying building-targeter; high hit damage and death bomb.</x:v>
      </x:c>
      <x:c r="X38" s="28" t="str">
        <x:v>Level 11 public stats included where verified; hidden fields (mass/collision/sight/projectile/splash) cross-checked against AesDragon hidden-stat tables. N/A means not applicable.</x:v>
      </x:c>
      <x:c r="Y38" s="28" t="str">
        <x:v>https://www.deckshop.pro/card/stats
https://www.deckshop.pro/card/hitpoints
https://deckmelon.com/cards/balloon
https://clashroyale.fandom.com/wiki/Balloon
https://www.deckshop.pro/card/detail/balloon</x:v>
      </x:c>
      <x:c r="Z38" s="28" t="str">
        <x:v>https://clashroyale.fandom.com/wiki/User_blog:AesDragon/Hidden_card_stats:_Mass
https://clashroyale.fandom.com/wiki/User_blog:AesDragon/Hidden_card_stats:_Collision_radius
https://clashroyale.fandom.com/wiki/User_blog:AesDragon/Hidden_card_stats:_Sight_range
https://clashroyale.fandom.com/wiki/User_blog:AesDragon/Hidden_card_stats:_Projectile_travel_speeds
https://clashroyale.fandom.com/wiki/User_blog:AesDragon/Hidden_card_stats:_Area_damage_radius</x:v>
      </x:c>
      <x:c r="AA38" s="28" t="str">
        <x:v>https://github.com/smlbiobot/cr-csv/blob/master/assets/csv_logic/characters.csv
https://github.com/smlbiobot/cr-csv/blob/master/assets/csv_logic/projectiles.csv</x:v>
      </x:c>
      <x:c r="AB38" s="28" t="str">
        <x:v>Updated: L11 HP/damage/death damage verified; death radius added.</x:v>
      </x:c>
      <x:c r="AC38" t="str">
        <x:v>3.0 death bomb</x:v>
      </x:c>
      <x:c r="AD38" t="str">
        <x:v>360° death bomb; main building hit is single target</x:v>
      </x:c>
    </x:row>
    <x:row r="39" ht="36" customHeight="1">
      <x:c r="A39" s="24" t="n">
        <x:v>38</x:v>
      </x:c>
      <x:c r="B39" s="22" t="str">
        <x:v>Giant Skeleton</x:v>
      </x:c>
      <x:c r="C39" s="22" t="str">
        <x:v>Troop</x:v>
      </x:c>
      <x:c r="D39" s="22" t="str">
        <x:v>Epic</x:v>
      </x:c>
      <x:c r="E39" s="24" t="n">
        <x:v>6</x:v>
      </x:c>
      <x:c r="F39" s="20" t="str">
        <x:v>1</x:v>
      </x:c>
      <x:c r="G39" s="20" t="str">
        <x:v>Ground</x:v>
      </x:c>
      <x:c r="H39" s="20" t="str">
        <x:v>Medium</x:v>
      </x:c>
      <x:c r="I39" s="26" t="n">
        <x:v>60</x:v>
      </x:c>
      <x:c r="J39" s="20" t="str">
        <x:v>0.8</x:v>
      </x:c>
      <x:c r="K39" s="20" t="n">
        <x:v>1.4</x:v>
      </x:c>
      <x:c r="L39" s="20" t="str">
        <x:v>1.0</x:v>
      </x:c>
      <x:c r="M39" s="20" t="str">
        <x:v>N/A</x:v>
      </x:c>
      <x:c r="N39" s="20" t="str">
        <x:v>3,617</x:v>
      </x:c>
      <x:c r="O39" s="20"/>
      <x:c r="P39" s="20" t="str">
        <x:v>276 + 535 death damage</x:v>
      </x:c>
      <x:c r="Q39" s="20" t="str">
        <x:v>See damage/effect note</x:v>
      </x:c>
      <x:c r="R39" s="20" t="str">
        <x:v>Melee / no projectile</x:v>
      </x:c>
      <x:c r="S39" s="20" t="str">
        <x:v>—</x:v>
      </x:c>
      <x:c r="T39" s="20" t="n">
        <x:v>18</x:v>
      </x:c>
      <x:c r="U39" s="20" t="n">
        <x:v>1</x:v>
      </x:c>
      <x:c r="V39" s="20" t="n">
        <x:v>5</x:v>
      </x:c>
      <x:c r="W39" s="20" t="str">
        <x:v>Carries death bomb; heavy ground body.</x:v>
      </x:c>
      <x:c r="X39" s="28" t="str">
        <x:v>Level 11 public stats included where verified; hidden fields (mass/collision/sight/projectile/splash) cross-checked against AesDragon hidden-stat tables. N/A means not applicable.</x:v>
      </x:c>
      <x:c r="Y39" s="28" t="str">
        <x:v>https://www.deckshop.pro/card/stats
https://www.deckshop.pro/card/hitpoints
https://deckmelon.com/cards/giant-skeleton
https://clashroyale.fandom.com/wiki/Giant_Skeleton</x:v>
      </x:c>
      <x:c r="Z39" s="28" t="str">
        <x:v>https://clashroyale.fandom.com/wiki/User_blog:AesDragon/Hidden_card_stats:_Mass
https://clashroyale.fandom.com/wiki/User_blog:AesDragon/Hidden_card_stats:_Collision_radius
https://clashroyale.fandom.com/wiki/User_blog:AesDragon/Hidden_card_stats:_Sight_range
https://clashroyale.fandom.com/wiki/User_blog:AesDragon/Hidden_card_stats:_Projectile_travel_speeds
https://clashroyale.fandom.com/wiki/User_blog:AesDragon/Hidden_card_stats:_Area_damage_radius</x:v>
      </x:c>
      <x:c r="AA39" s="28" t="str">
        <x:v>https://github.com/smlbiobot/cr-csv/blob/master/assets/csv_logic/characters.csv
https://github.com/smlbiobot/cr-csv/blob/master/assets/csv_logic/projectiles.csv</x:v>
      </x:c>
      <x:c r="AB39" s="28" t="str">
        <x:v>Current L11 from Deckmelon.</x:v>
      </x:c>
      <x:c r="AC39" t="str">
        <x:v>3.0 death bomb</x:v>
      </x:c>
      <x:c r="AD39" t="str">
        <x:v>360° death bomb</x:v>
      </x:c>
    </x:row>
    <x:row r="40" ht="36" customHeight="1">
      <x:c r="A40" s="24" t="n">
        <x:v>39</x:v>
      </x:c>
      <x:c r="B40" s="22" t="str">
        <x:v>Hunter</x:v>
      </x:c>
      <x:c r="C40" s="22" t="str">
        <x:v>Troop</x:v>
      </x:c>
      <x:c r="D40" s="22" t="str">
        <x:v>Epic</x:v>
      </x:c>
      <x:c r="E40" s="24" t="n">
        <x:v>4</x:v>
      </x:c>
      <x:c r="F40" s="20" t="str">
        <x:v>1</x:v>
      </x:c>
      <x:c r="G40" s="20" t="str">
        <x:v>Air &amp; ground</x:v>
      </x:c>
      <x:c r="H40" s="20" t="str">
        <x:v>Medium</x:v>
      </x:c>
      <x:c r="I40" s="26" t="n">
        <x:v>60</x:v>
      </x:c>
      <x:c r="J40" s="20" t="str">
        <x:v>4.0</x:v>
      </x:c>
      <x:c r="K40" s="20" t="n">
        <x:v>2.2</x:v>
      </x:c>
      <x:c r="L40" s="20" t="str">
        <x:v>1.0</x:v>
      </x:c>
      <x:c r="M40" s="20" t="str">
        <x:v>N/A</x:v>
      </x:c>
      <x:c r="N40" s="20" t="str">
        <x:v>885</x:v>
      </x:c>
      <x:c r="O40" s="20"/>
      <x:c r="P40" s="20" t="str">
        <x:v>84 ×10 pellets (840 max)</x:v>
      </x:c>
      <x:c r="Q40" s="20" t="str">
        <x:v>See damage/effect note</x:v>
      </x:c>
      <x:c r="R40" s="20" t="str">
        <x:v>Attack projectile</x:v>
      </x:c>
      <x:c r="S40" s="20" t="str">
        <x:v>550 attack</x:v>
      </x:c>
      <x:c r="T40" s="20" t="n">
        <x:v>5</x:v>
      </x:c>
      <x:c r="U40" s="20" t="n">
        <x:v>0.6</x:v>
      </x:c>
      <x:c r="V40" s="20" t="n">
        <x:v>5.5</x:v>
      </x:c>
      <x:c r="W40" s="20" t="str">
        <x:v>Shotgun spread; strongest at point blank.</x:v>
      </x:c>
      <x:c r="X40" s="28" t="str">
        <x:v>Level 11 public stats included where verified; hidden fields (mass/collision/sight/projectile/splash) cross-checked against AesDragon hidden-stat tables. N/A means not applicable.</x:v>
      </x:c>
      <x:c r="Y40" s="28" t="str">
        <x:v>https://www.deckshop.pro/card/stats
https://www.deckshop.pro/card/hitpoints
https://deckmelon.com/cards/hunter
https://clashroyale.fandom.com/wiki/Hunter</x:v>
      </x:c>
      <x:c r="Z40" s="28" t="str">
        <x:v>https://clashroyale.fandom.com/wiki/User_blog:AesDragon/Hidden_card_stats:_Mass
https://clashroyale.fandom.com/wiki/User_blog:AesDragon/Hidden_card_stats:_Collision_radius
https://clashroyale.fandom.com/wiki/User_blog:AesDragon/Hidden_card_stats:_Sight_range
https://clashroyale.fandom.com/wiki/User_blog:AesDragon/Hidden_card_stats:_Projectile_travel_speeds
https://clashroyale.fandom.com/wiki/User_blog:AesDragon/Hidden_card_stats:_Area_damage_radius</x:v>
      </x:c>
      <x:c r="AA40" s="28" t="str">
        <x:v>https://github.com/smlbiobot/cr-csv/blob/master/assets/csv_logic/characters.csv
https://github.com/smlbiobot/cr-csv/blob/master/assets/csv_logic/projectiles.csv</x:v>
      </x:c>
      <x:c r="AB40" s="28" t="str">
        <x:v>Updated: L11 pellet damage and HP verified.</x:v>
      </x:c>
      <x:c r="AC40" t="str">
        <x:v>0.3 per pellet collision</x:v>
      </x:c>
      <x:c r="AD40" t="str">
        <x:v>Shotgun pellet collision/splash-like contact radius</x:v>
      </x:c>
    </x:row>
    <x:row r="41" ht="36" customHeight="1">
      <x:c r="A41" s="24" t="n">
        <x:v>40</x:v>
      </x:c>
      <x:c r="B41" s="22" t="str">
        <x:v>Golem</x:v>
      </x:c>
      <x:c r="C41" s="22" t="str">
        <x:v>Troop</x:v>
      </x:c>
      <x:c r="D41" s="22" t="str">
        <x:v>Epic</x:v>
      </x:c>
      <x:c r="E41" s="24" t="n">
        <x:v>8</x:v>
      </x:c>
      <x:c r="F41" s="20" t="str">
        <x:v>1 + 2 Golemites on death</x:v>
      </x:c>
      <x:c r="G41" s="20" t="str">
        <x:v>Buildings</x:v>
      </x:c>
      <x:c r="H41" s="20" t="str">
        <x:v>Slow</x:v>
      </x:c>
      <x:c r="I41" s="26" t="n">
        <x:v>45</x:v>
      </x:c>
      <x:c r="J41" s="20" t="str">
        <x:v>0.75</x:v>
      </x:c>
      <x:c r="K41" s="20" t="n">
        <x:v>2.5</x:v>
      </x:c>
      <x:c r="L41" s="20" t="str">
        <x:v>3.0</x:v>
      </x:c>
      <x:c r="M41" s="20" t="str">
        <x:v>N/A</x:v>
      </x:c>
      <x:c r="N41" s="20" t="str">
        <x:v>5,120 Golem; 1,039 per Golemite</x:v>
      </x:c>
      <x:c r="O41" s="20"/>
      <x:c r="P41" s="20" t="str">
        <x:v>312 Golem; 225 Golem death; 84 Golemite; 99 Golemite death</x:v>
      </x:c>
      <x:c r="Q41" s="20" t="str">
        <x:v>See damage/effect note</x:v>
      </x:c>
      <x:c r="R41" s="20" t="str">
        <x:v>Melee / no projectile</x:v>
      </x:c>
      <x:c r="S41" s="20" t="str">
        <x:v>—</x:v>
      </x:c>
      <x:c r="T41" s="20" t="n">
        <x:v>20</x:v>
      </x:c>
      <x:c r="U41" s="20" t="n">
        <x:v>0.75</x:v>
      </x:c>
      <x:c r="V41" s="20" t="n">
        <x:v>7</x:v>
      </x:c>
      <x:c r="W41" s="20" t="str">
        <x:v>Very heavy building-targeting tank; splits into Golemites.</x:v>
      </x:c>
      <x:c r="X41" s="28" t="str">
        <x:v>Level 11 public stats included where verified; hidden fields (mass/collision/sight/projectile/splash) cross-checked against AesDragon hidden-stat tables. N/A means not applicable.</x:v>
      </x:c>
      <x:c r="Y41" s="28" t="str">
        <x:v>https://www.deckshop.pro/card/stats
https://www.deckshop.pro/card/hitpoints
https://deckmelon.com/cards/golem
https://clashroyale.fandom.com/wiki/Golem
https://www.deckshop.pro/card/detail/golem</x:v>
      </x:c>
      <x:c r="Z41" s="28" t="str">
        <x:v>https://clashroyale.fandom.com/wiki/User_blog:AesDragon/Hidden_card_stats:_Mass
https://clashroyale.fandom.com/wiki/User_blog:AesDragon/Hidden_card_stats:_Collision_radius
https://clashroyale.fandom.com/wiki/User_blog:AesDragon/Hidden_card_stats:_Sight_range
https://clashroyale.fandom.com/wiki/User_blog:AesDragon/Hidden_card_stats:_Projectile_travel_speeds
https://clashroyale.fandom.com/wiki/User_blog:AesDragon/Hidden_card_stats:_Area_damage_radius</x:v>
      </x:c>
      <x:c r="AA41" s="28" t="str">
        <x:v>https://github.com/smlbiobot/cr-csv/blob/master/assets/csv_logic/characters.csv
https://github.com/smlbiobot/cr-csv/blob/master/assets/csv_logic/projectiles.csv</x:v>
      </x:c>
      <x:c r="AB41" s="28" t="str">
        <x:v>Updated: L11 Golem/Golemite component stats verified.</x:v>
      </x:c>
      <x:c r="AC41" t="str">
        <x:v>2.0 death; 2.0 Golemite death</x:v>
      </x:c>
      <x:c r="AD41" t="str">
        <x:v>Death AoE for Golem and Golemites</x:v>
      </x:c>
    </x:row>
    <x:row r="42" ht="36" customHeight="1">
      <x:c r="A42" s="24" t="n">
        <x:v>41</x:v>
      </x:c>
      <x:c r="B42" s="22" t="str">
        <x:v>Bowler</x:v>
      </x:c>
      <x:c r="C42" s="22" t="str">
        <x:v>Troop</x:v>
      </x:c>
      <x:c r="D42" s="22" t="str">
        <x:v>Epic</x:v>
      </x:c>
      <x:c r="E42" s="24" t="n">
        <x:v>5</x:v>
      </x:c>
      <x:c r="F42" s="20" t="str">
        <x:v>1</x:v>
      </x:c>
      <x:c r="G42" s="20" t="str">
        <x:v>Ground</x:v>
      </x:c>
      <x:c r="H42" s="20" t="str">
        <x:v>Slow</x:v>
      </x:c>
      <x:c r="I42" s="26" t="n">
        <x:v>45</x:v>
      </x:c>
      <x:c r="J42" s="20" t="str">
        <x:v>4.0</x:v>
      </x:c>
      <x:c r="K42" s="20" t="n">
        <x:v>2.5</x:v>
      </x:c>
      <x:c r="L42" s="20" t="str">
        <x:v>1.0</x:v>
      </x:c>
      <x:c r="M42" s="20" t="str">
        <x:v>N/A</x:v>
      </x:c>
      <x:c r="N42" s="20" t="str">
        <x:v>2,081</x:v>
      </x:c>
      <x:c r="O42" s="20"/>
      <x:c r="P42" s="20" t="str">
        <x:v>289 area/pushback</x:v>
      </x:c>
      <x:c r="Q42" s="20" t="str">
        <x:v>See damage/effect note</x:v>
      </x:c>
      <x:c r="R42" s="20" t="str">
        <x:v>Bowler boulder</x:v>
      </x:c>
      <x:c r="S42" s="20" t="str">
        <x:v>170 boulder</x:v>
      </x:c>
      <x:c r="T42" s="20" t="n">
        <x:v>18</x:v>
      </x:c>
      <x:c r="U42" s="20" t="n">
        <x:v>0.75</x:v>
      </x:c>
      <x:c r="V42" s="20" t="n">
        <x:v>4</x:v>
      </x:c>
      <x:c r="W42" s="20" t="str">
        <x:v>Boulder rolls through ground units and knocks back.</x:v>
      </x:c>
      <x:c r="X42" s="28" t="str">
        <x:v>Level 11 public stats included where verified; hidden fields (mass/collision/sight/projectile/splash) cross-checked against AesDragon hidden-stat tables. N/A means not applicable.</x:v>
      </x:c>
      <x:c r="Y42" s="28" t="str">
        <x:v>https://www.deckshop.pro/card/stats
https://www.deckshop.pro/card/hitpoints
https://deckmelon.com/cards/bowler
https://clashroyale.fandom.com/wiki/Bowler</x:v>
      </x:c>
      <x:c r="Z42" s="28" t="str">
        <x:v>https://clashroyale.fandom.com/wiki/User_blog:AesDragon/Hidden_card_stats:_Mass
https://clashroyale.fandom.com/wiki/User_blog:AesDragon/Hidden_card_stats:_Collision_radius
https://clashroyale.fandom.com/wiki/User_blog:AesDragon/Hidden_card_stats:_Sight_range
https://clashroyale.fandom.com/wiki/User_blog:AesDragon/Hidden_card_stats:_Projectile_travel_speeds
https://clashroyale.fandom.com/wiki/User_blog:AesDragon/Hidden_card_stats:_Area_damage_radius</x:v>
      </x:c>
      <x:c r="AA42" s="28" t="str">
        <x:v>https://github.com/smlbiobot/cr-csv/blob/master/assets/csv_logic/characters.csv
https://github.com/smlbiobot/cr-csv/blob/master/assets/csv_logic/projectiles.csv</x:v>
      </x:c>
      <x:c r="AB42" s="28" t="str">
        <x:v>Current L11 from Deckmelon.</x:v>
      </x:c>
      <x:c r="AC42" t="str">
        <x:v>1.0</x:v>
      </x:c>
      <x:c r="AD42" t="str">
        <x:v>Continuous rolling boulder splash</x:v>
      </x:c>
    </x:row>
    <x:row r="43" ht="36" customHeight="1">
      <x:c r="A43" s="24" t="n">
        <x:v>42</x:v>
      </x:c>
      <x:c r="B43" s="22" t="str">
        <x:v>Executioner</x:v>
      </x:c>
      <x:c r="C43" s="22" t="str">
        <x:v>Troop</x:v>
      </x:c>
      <x:c r="D43" s="22" t="str">
        <x:v>Epic</x:v>
      </x:c>
      <x:c r="E43" s="24" t="n">
        <x:v>5</x:v>
      </x:c>
      <x:c r="F43" s="20" t="str">
        <x:v>1</x:v>
      </x:c>
      <x:c r="G43" s="20" t="str">
        <x:v>Air &amp; ground</x:v>
      </x:c>
      <x:c r="H43" s="20" t="str">
        <x:v>Medium</x:v>
      </x:c>
      <x:c r="I43" s="26" t="n">
        <x:v>60</x:v>
      </x:c>
      <x:c r="J43" s="20" t="str">
        <x:v>4.5</x:v>
      </x:c>
      <x:c r="K43" s="20" t="n">
        <x:v>2.4</x:v>
      </x:c>
      <x:c r="L43" s="20" t="str">
        <x:v>1.0</x:v>
      </x:c>
      <x:c r="M43" s="20" t="str">
        <x:v>N/A</x:v>
      </x:c>
      <x:c r="N43" s="20" t="str">
        <x:v>1,280</x:v>
      </x:c>
      <x:c r="O43" s="20"/>
      <x:c r="P43" s="20" t="str">
        <x:v>179 ×2 path hits</x:v>
      </x:c>
      <x:c r="Q43" s="20" t="str">
        <x:v>See damage/effect note</x:v>
      </x:c>
      <x:c r="R43" s="20" t="str">
        <x:v>Executioner axe</x:v>
      </x:c>
      <x:c r="S43" s="20" t="str">
        <x:v>550 axe</x:v>
      </x:c>
      <x:c r="T43" s="20" t="n">
        <x:v>4</x:v>
      </x:c>
      <x:c r="U43" s="20" t="n">
        <x:v>0.6</x:v>
      </x:c>
      <x:c r="V43" s="20" t="n">
        <x:v>5.5</x:v>
      </x:c>
      <x:c r="W43" s="20" t="str">
        <x:v>Axe travels out and back, hitting twice in a line.</x:v>
      </x:c>
      <x:c r="X43" s="28" t="str">
        <x:v>Level 11 public stats included where verified; hidden fields (mass/collision/sight/projectile/splash) cross-checked against AesDragon hidden-stat tables. N/A means not applicable.</x:v>
      </x:c>
      <x:c r="Y43" s="28" t="str">
        <x:v>https://www.deckshop.pro/card/stats
https://www.deckshop.pro/card/hitpoints
https://deckmelon.com/cards/executioner
https://clashroyale.fandom.com/wiki/Executioner
https://www.deckshop.pro/card/detail/executioner</x:v>
      </x:c>
      <x:c r="Z43" s="28" t="str">
        <x:v>https://clashroyale.fandom.com/wiki/User_blog:AesDragon/Hidden_card_stats:_Mass
https://clashroyale.fandom.com/wiki/User_blog:AesDragon/Hidden_card_stats:_Collision_radius
https://clashroyale.fandom.com/wiki/User_blog:AesDragon/Hidden_card_stats:_Sight_range
https://clashroyale.fandom.com/wiki/User_blog:AesDragon/Hidden_card_stats:_Projectile_travel_speeds
https://clashroyale.fandom.com/wiki/User_blog:AesDragon/Hidden_card_stats:_Area_damage_radius</x:v>
      </x:c>
      <x:c r="AA43" s="28" t="str">
        <x:v>https://github.com/smlbiobot/cr-csv/blob/master/assets/csv_logic/characters.csv
https://github.com/smlbiobot/cr-csv/blob/master/assets/csv_logic/projectiles.csv</x:v>
      </x:c>
      <x:c r="AB43" s="28" t="str">
        <x:v>Updated: L11 HP/damage verified; axe path radius added.</x:v>
      </x:c>
      <x:c r="AC43" t="str">
        <x:v>1.0</x:v>
      </x:c>
      <x:c r="AD43" t="str">
        <x:v>Continuous axe path splash, outbound and return</x:v>
      </x:c>
    </x:row>
    <x:row r="44" ht="36" customHeight="1">
      <x:c r="A44" s="24" t="n">
        <x:v>43</x:v>
      </x:c>
      <x:c r="B44" s="22" t="str">
        <x:v>Cannon Cart</x:v>
      </x:c>
      <x:c r="C44" s="22" t="str">
        <x:v>Troop</x:v>
      </x:c>
      <x:c r="D44" s="22" t="str">
        <x:v>Epic</x:v>
      </x:c>
      <x:c r="E44" s="24" t="n">
        <x:v>5</x:v>
      </x:c>
      <x:c r="F44" s="20" t="str">
        <x:v>1</x:v>
      </x:c>
      <x:c r="G44" s="20" t="str">
        <x:v>Ground</x:v>
      </x:c>
      <x:c r="H44" s="20" t="str">
        <x:v>Medium</x:v>
      </x:c>
      <x:c r="I44" s="26" t="n">
        <x:v>60</x:v>
      </x:c>
      <x:c r="J44" s="20" t="str">
        <x:v>5.5</x:v>
      </x:c>
      <x:c r="K44" s="20" t="n">
        <x:v>1</x:v>
      </x:c>
      <x:c r="L44" s="20" t="str">
        <x:v>1.0</x:v>
      </x:c>
      <x:c r="M44" s="20" t="str">
        <x:v>N/A</x:v>
      </x:c>
      <x:c r="N44" s="20" t="str">
        <x:v>1,809 total/cart state</x:v>
      </x:c>
      <x:c r="O44" s="20" t="str">
        <x:v>Included in HP/state transition</x:v>
      </x:c>
      <x:c r="P44" s="20" t="str">
        <x:v>212</x:v>
      </x:c>
      <x:c r="Q44" s="20" t="str">
        <x:v>See damage/effect note</x:v>
      </x:c>
      <x:c r="R44" s="20" t="str">
        <x:v>Attack projectile</x:v>
      </x:c>
      <x:c r="S44" s="20" t="str">
        <x:v>1000 attack</x:v>
      </x:c>
      <x:c r="T44" s="20" t="n">
        <x:v>3</x:v>
      </x:c>
      <x:c r="U44" s="20" t="n">
        <x:v>0.6</x:v>
      </x:c>
      <x:c r="V44" s="20" t="str">
        <x:v>6.0 first form / 5.5 broken cart</x:v>
      </x:c>
      <x:c r="W44" s="20" t="str">
        <x:v>Ranged cart becomes stationary building-like cannon after shield breaks.</x:v>
      </x:c>
      <x:c r="X44" s="28" t="str">
        <x:v>Level 11 public stats included where verified; hidden fields (mass/collision/sight/projectile/splash) cross-checked against AesDragon hidden-stat tables. N/A means not applicable.</x:v>
      </x:c>
      <x:c r="Y44" s="28" t="str">
        <x:v>https://www.deckshop.pro/card/stats
https://www.deckshop.pro/card/hitpoints
https://deckmelon.com/cards/cannon-cart
https://clashroyale.fandom.com/wiki/Cannon_Cart
https://www.deckshop.pro/card/detail/cannon-cart</x:v>
      </x:c>
      <x:c r="Z44" s="28" t="str">
        <x:v>https://clashroyale.fandom.com/wiki/User_blog:AesDragon/Hidden_card_stats:_Mass
https://clashroyale.fandom.com/wiki/User_blog:AesDragon/Hidden_card_stats:_Collision_radius
https://clashroyale.fandom.com/wiki/User_blog:AesDragon/Hidden_card_stats:_Sight_range
https://clashroyale.fandom.com/wiki/User_blog:AesDragon/Hidden_card_stats:_Projectile_travel_speeds
https://clashroyale.fandom.com/wiki/User_blog:AesDragon/Hidden_card_stats:_Area_damage_radius</x:v>
      </x:c>
      <x:c r="AA44" s="28" t="str">
        <x:v>https://github.com/smlbiobot/cr-csv/blob/master/assets/csv_logic/characters.csv
https://github.com/smlbiobot/cr-csv/blob/master/assets/csv_logic/projectiles.csv</x:v>
      </x:c>
      <x:c r="AB44" s="28" t="str">
        <x:v>Updated: L11 HP/damage verified; shield/state note clarified.</x:v>
      </x:c>
      <x:c r="AC44" t="str">
        <x:v>N/A</x:v>
      </x:c>
      <x:c r="AD44" t="str">
        <x:v>Single-target / no splash or AoE</x:v>
      </x:c>
    </x:row>
    <x:row r="45" ht="36" customHeight="1">
      <x:c r="A45" s="24" t="n">
        <x:v>44</x:v>
      </x:c>
      <x:c r="B45" s="22" t="str">
        <x:v>Mega Knight</x:v>
      </x:c>
      <x:c r="C45" s="22" t="str">
        <x:v>Troop</x:v>
      </x:c>
      <x:c r="D45" s="22" t="str">
        <x:v>Legendary</x:v>
      </x:c>
      <x:c r="E45" s="24" t="n">
        <x:v>7</x:v>
      </x:c>
      <x:c r="F45" s="20" t="str">
        <x:v>1</x:v>
      </x:c>
      <x:c r="G45" s="20" t="str">
        <x:v>Ground</x:v>
      </x:c>
      <x:c r="H45" s="20" t="str">
        <x:v>Medium</x:v>
      </x:c>
      <x:c r="I45" s="26" t="n">
        <x:v>60</x:v>
      </x:c>
      <x:c r="J45" s="20" t="str">
        <x:v>1.2</x:v>
      </x:c>
      <x:c r="K45" s="20" t="n">
        <x:v>1.7</x:v>
      </x:c>
      <x:c r="L45" s="20" t="str">
        <x:v>1.0</x:v>
      </x:c>
      <x:c r="M45" s="20" t="str">
        <x:v>N/A</x:v>
      </x:c>
      <x:c r="N45" s="20" t="str">
        <x:v>3,993</x:v>
      </x:c>
      <x:c r="O45" s="20"/>
      <x:c r="P45" s="20" t="str">
        <x:v>268 area / 537 jump / 430 spawn</x:v>
      </x:c>
      <x:c r="Q45" s="20" t="str">
        <x:v>See damage/effect note</x:v>
      </x:c>
      <x:c r="R45" s="20" t="str">
        <x:v>Attack projectile</x:v>
      </x:c>
      <x:c r="S45" s="20" t="str">
        <x:v>1000 spawn impact</x:v>
      </x:c>
      <x:c r="T45" s="20" t="n">
        <x:v>18</x:v>
      </x:c>
      <x:c r="U45" s="20" t="n">
        <x:v>0.75</x:v>
      </x:c>
      <x:c r="V45" s="20" t="n">
        <x:v>5.5</x:v>
      </x:c>
      <x:c r="W45" s="20" t="str">
        <x:v>Spawn damage and jump attack; ground splash.</x:v>
      </x:c>
      <x:c r="X45" s="28" t="str">
        <x:v>Level 11 public stats included where verified; hidden fields (mass/collision/sight/projectile/splash) cross-checked against AesDragon hidden-stat tables. N/A means not applicable.</x:v>
      </x:c>
      <x:c r="Y45" s="28" t="str">
        <x:v>https://www.deckshop.pro/card/stats
https://www.deckshop.pro/card/hitpoints
https://deckmelon.com/cards/mega-knight
https://clashroyale.fandom.com/wiki/Mega_Knight</x:v>
      </x:c>
      <x:c r="Z45" s="28" t="str">
        <x:v>https://clashroyale.fandom.com/wiki/User_blog:AesDragon/Hidden_card_stats:_Mass
https://clashroyale.fandom.com/wiki/User_blog:AesDragon/Hidden_card_stats:_Collision_radius
https://clashroyale.fandom.com/wiki/User_blog:AesDragon/Hidden_card_stats:_Sight_range
https://clashroyale.fandom.com/wiki/User_blog:AesDragon/Hidden_card_stats:_Projectile_travel_speeds
https://clashroyale.fandom.com/wiki/User_blog:AesDragon/Hidden_card_stats:_Area_damage_radius</x:v>
      </x:c>
      <x:c r="AA45" s="28" t="str">
        <x:v>https://github.com/smlbiobot/cr-csv/blob/master/assets/csv_logic/characters.csv
https://github.com/smlbiobot/cr-csv/blob/master/assets/csv_logic/projectiles.csv</x:v>
      </x:c>
      <x:c r="AB45" s="28" t="str">
        <x:v>Current L11 from Deckmelon.</x:v>
      </x:c>
      <x:c r="AC45" t="str">
        <x:v>1.3 attack / 2.2 spawn &amp; jump</x:v>
      </x:c>
      <x:c r="AD45" t="str">
        <x:v>Melee splash plus 360° spawn/jump</x:v>
      </x:c>
    </x:row>
    <x:row r="46" ht="36" customHeight="1">
      <x:c r="A46" s="24" t="n">
        <x:v>45</x:v>
      </x:c>
      <x:c r="B46" s="22" t="str">
        <x:v>Electro Wizard</x:v>
      </x:c>
      <x:c r="C46" s="22" t="str">
        <x:v>Troop</x:v>
      </x:c>
      <x:c r="D46" s="22" t="str">
        <x:v>Legendary</x:v>
      </x:c>
      <x:c r="E46" s="24" t="n">
        <x:v>4</x:v>
      </x:c>
      <x:c r="F46" s="20" t="str">
        <x:v>1</x:v>
      </x:c>
      <x:c r="G46" s="20" t="str">
        <x:v>Air &amp; ground</x:v>
      </x:c>
      <x:c r="H46" s="20" t="str">
        <x:v>Fast</x:v>
      </x:c>
      <x:c r="I46" s="26" t="n">
        <x:v>90</x:v>
      </x:c>
      <x:c r="J46" s="20" t="str">
        <x:v>5.0</x:v>
      </x:c>
      <x:c r="K46" s="20" t="n">
        <x:v>1.8</x:v>
      </x:c>
      <x:c r="L46" s="20" t="str">
        <x:v>1.0</x:v>
      </x:c>
      <x:c r="M46" s="20" t="str">
        <x:v>N/A</x:v>
      </x:c>
      <x:c r="N46" s="20" t="str">
        <x:v>714</x:v>
      </x:c>
      <x:c r="O46" s="20"/>
      <x:c r="P46" s="20" t="str">
        <x:v>115 ×2 attack bolts; 192 spawn Zap</x:v>
      </x:c>
      <x:c r="Q46" s="20" t="str">
        <x:v>127 DPS per bolt; up to 254 if both bolts hit</x:v>
      </x:c>
      <x:c r="R46" s="20" t="str">
        <x:v>Melee / no projectile</x:v>
      </x:c>
      <x:c r="S46" s="20" t="str">
        <x:v>—</x:v>
      </x:c>
      <x:c r="T46" s="20" t="n">
        <x:v>5</x:v>
      </x:c>
      <x:c r="U46" s="20" t="n">
        <x:v>0.5</x:v>
      </x:c>
      <x:c r="V46" s="20" t="n">
        <x:v>5.5</x:v>
      </x:c>
      <x:c r="W46" s="20" t="str">
        <x:v>Spawn zap; dual-target attack; stun/reset.</x:v>
      </x:c>
      <x:c r="X46" s="28" t="str">
        <x:v>Level 11 public stats included where verified; hidden fields (mass/collision/sight/projectile/splash) cross-checked against AesDragon hidden-stat tables. N/A means not applicable.</x:v>
      </x:c>
      <x:c r="Y46" s="28" t="str">
        <x:v>https://www.deckshop.pro/card/stats
https://www.deckshop.pro/card/hitpoints
https://deckmelon.com/cards/electro-wizard
https://clashroyale.fandom.com/wiki/Electro_Wizard
https://www.clashroyaledeckbuilder.net/clash-royale-cards/electro_wizard</x:v>
      </x:c>
      <x:c r="Z46" s="28" t="str">
        <x:v>https://clashroyale.fandom.com/wiki/User_blog:AesDragon/Hidden_card_stats:_Mass
https://clashroyale.fandom.com/wiki/User_blog:AesDragon/Hidden_card_stats:_Collision_radius
https://clashroyale.fandom.com/wiki/User_blog:AesDragon/Hidden_card_stats:_Sight_range
https://clashroyale.fandom.com/wiki/User_blog:AesDragon/Hidden_card_stats:_Projectile_travel_speeds
https://clashroyale.fandom.com/wiki/User_blog:AesDragon/Hidden_card_stats:_Area_damage_radius</x:v>
      </x:c>
      <x:c r="AA46" s="28" t="str">
        <x:v>https://github.com/smlbiobot/cr-csv/blob/master/assets/csv_logic/characters.csv
https://github.com/smlbiobot/cr-csv/blob/master/assets/csv_logic/projectiles.csv</x:v>
      </x:c>
      <x:c r="AB46" s="28" t="str">
        <x:v>Updated: L11 HP, attack, and spawn Zap damage verified.</x:v>
      </x:c>
      <x:c r="AC46" t="str">
        <x:v>2.5 spawn Zap</x:v>
      </x:c>
      <x:c r="AD46" t="str">
        <x:v>360° spawn Zap; normal bolts are dual-target</x:v>
      </x:c>
    </x:row>
    <x:row r="47" ht="36" customHeight="1">
      <x:c r="A47" s="24" t="n">
        <x:v>46</x:v>
      </x:c>
      <x:c r="B47" s="22" t="str">
        <x:v>Inferno Dragon</x:v>
      </x:c>
      <x:c r="C47" s="22" t="str">
        <x:v>Troop</x:v>
      </x:c>
      <x:c r="D47" s="22" t="str">
        <x:v>Legendary</x:v>
      </x:c>
      <x:c r="E47" s="24" t="n">
        <x:v>4</x:v>
      </x:c>
      <x:c r="F47" s="20" t="str">
        <x:v>1</x:v>
      </x:c>
      <x:c r="G47" s="20" t="str">
        <x:v>Air &amp; ground</x:v>
      </x:c>
      <x:c r="H47" s="20" t="str">
        <x:v>Medium</x:v>
      </x:c>
      <x:c r="I47" s="26" t="n">
        <x:v>60</x:v>
      </x:c>
      <x:c r="J47" s="20" t="str">
        <x:v>3.5</x:v>
      </x:c>
      <x:c r="K47" s="20" t="n">
        <x:v>0.4</x:v>
      </x:c>
      <x:c r="L47" s="20" t="str">
        <x:v>1.0</x:v>
      </x:c>
      <x:c r="M47" s="20" t="str">
        <x:v>N/A</x:v>
      </x:c>
      <x:c r="N47" s="20" t="str">
        <x:v>1,295</x:v>
      </x:c>
      <x:c r="O47" s="20"/>
      <x:c r="P47" s="20" t="str">
        <x:v>35 / 120 / 422 ramp stages</x:v>
      </x:c>
      <x:c r="Q47" s="20" t="str">
        <x:v>87 / 300 / 1,055 DPS stages</x:v>
      </x:c>
      <x:c r="R47" s="20" t="str">
        <x:v>Melee / no projectile</x:v>
      </x:c>
      <x:c r="S47" s="20" t="str">
        <x:v>—</x:v>
      </x:c>
      <x:c r="T47" s="20" t="n">
        <x:v>5</x:v>
      </x:c>
      <x:c r="U47" s="20" t="n">
        <x:v>0.5</x:v>
      </x:c>
      <x:c r="V47" s="20" t="n">
        <x:v>5.5</x:v>
      </x:c>
      <x:c r="W47" s="20" t="str">
        <x:v>Flying ramping-damage beam; reset-vulnerable.</x:v>
      </x:c>
      <x:c r="X47" s="28" t="str">
        <x:v>Level 11 public stats included where verified; hidden fields (mass/collision/sight/projectile/splash) cross-checked against AesDragon hidden-stat tables. N/A means not applicable.</x:v>
      </x:c>
      <x:c r="Y47" s="28" t="str">
        <x:v>https://www.deckshop.pro/card/stats
https://www.deckshop.pro/card/hitpoints
https://deckmelon.com/cards/inferno-dragon
https://clashroyale.fandom.com/wiki/Inferno_Dragon
https://www.deckshop.pro/card/detail/inferno-dragon</x:v>
      </x:c>
      <x:c r="Z47" s="28" t="str">
        <x:v>https://clashroyale.fandom.com/wiki/User_blog:AesDragon/Hidden_card_stats:_Mass
https://clashroyale.fandom.com/wiki/User_blog:AesDragon/Hidden_card_stats:_Collision_radius
https://clashroyale.fandom.com/wiki/User_blog:AesDragon/Hidden_card_stats:_Sight_range
https://clashroyale.fandom.com/wiki/User_blog:AesDragon/Hidden_card_stats:_Projectile_travel_speeds
https://clashroyale.fandom.com/wiki/User_blog:AesDragon/Hidden_card_stats:_Area_damage_radius</x:v>
      </x:c>
      <x:c r="AA47" s="28" t="str">
        <x:v>https://github.com/smlbiobot/cr-csv/blob/master/assets/csv_logic/characters.csv
https://github.com/smlbiobot/cr-csv/blob/master/assets/csv_logic/projectiles.csv</x:v>
      </x:c>
      <x:c r="AB47" s="28" t="str">
        <x:v>Updated: L11 ramp-stage stats verified.</x:v>
      </x:c>
      <x:c r="AC47" t="str">
        <x:v>N/A</x:v>
      </x:c>
      <x:c r="AD47" t="str">
        <x:v>Single-target / no splash or AoE</x:v>
      </x:c>
    </x:row>
    <x:row r="48" ht="36" customHeight="1">
      <x:c r="A48" s="24" t="n">
        <x:v>47</x:v>
      </x:c>
      <x:c r="B48" s="22" t="str">
        <x:v>Sparky</x:v>
      </x:c>
      <x:c r="C48" s="22" t="str">
        <x:v>Troop</x:v>
      </x:c>
      <x:c r="D48" s="22" t="str">
        <x:v>Legendary</x:v>
      </x:c>
      <x:c r="E48" s="24" t="n">
        <x:v>6</x:v>
      </x:c>
      <x:c r="F48" s="20" t="str">
        <x:v>1</x:v>
      </x:c>
      <x:c r="G48" s="20" t="str">
        <x:v>Ground</x:v>
      </x:c>
      <x:c r="H48" s="20" t="str">
        <x:v>Slow</x:v>
      </x:c>
      <x:c r="I48" s="26" t="n">
        <x:v>45</x:v>
      </x:c>
      <x:c r="J48" s="20" t="str">
        <x:v>5.0</x:v>
      </x:c>
      <x:c r="K48" s="20" t="n">
        <x:v>4</x:v>
      </x:c>
      <x:c r="L48" s="20" t="str">
        <x:v>1.0</x:v>
      </x:c>
      <x:c r="M48" s="20" t="str">
        <x:v>N/A</x:v>
      </x:c>
      <x:c r="N48" s="20" t="str">
        <x:v>1,451</x:v>
      </x:c>
      <x:c r="O48" s="20"/>
      <x:c r="P48" s="20" t="str">
        <x:v>1,331 area</x:v>
      </x:c>
      <x:c r="Q48" s="20" t="str">
        <x:v>332 DPS</x:v>
      </x:c>
      <x:c r="R48" s="20" t="str">
        <x:v>Attack projectile</x:v>
      </x:c>
      <x:c r="S48" s="20" t="str">
        <x:v>1400 attack</x:v>
      </x:c>
      <x:c r="T48" s="20" t="n">
        <x:v>18</x:v>
      </x:c>
      <x:c r="U48" s="20" t="n">
        <x:v>1</x:v>
      </x:c>
      <x:c r="V48" s="20" t="n">
        <x:v>5</x:v>
      </x:c>
      <x:c r="W48" s="20" t="str">
        <x:v>Slow-charging, massive splash projectile; reset-vulnerable.</x:v>
      </x:c>
      <x:c r="X48" s="28" t="str">
        <x:v>Level 11 public stats included where verified; hidden fields (mass/collision/sight/projectile/splash) cross-checked against AesDragon hidden-stat tables. N/A means not applicable.</x:v>
      </x:c>
      <x:c r="Y48" s="28" t="str">
        <x:v>https://www.deckshop.pro/card/stats
https://www.deckshop.pro/card/hitpoints
https://deckmelon.com/cards/sparky
https://clashroyale.fandom.com/wiki/Sparky
https://www.deckshop.pro/card/detail/sparky</x:v>
      </x:c>
      <x:c r="Z48" s="28" t="str">
        <x:v>https://clashroyale.fandom.com/wiki/User_blog:AesDragon/Hidden_card_stats:_Mass
https://clashroyale.fandom.com/wiki/User_blog:AesDragon/Hidden_card_stats:_Collision_radius
https://clashroyale.fandom.com/wiki/User_blog:AesDragon/Hidden_card_stats:_Sight_range
https://clashroyale.fandom.com/wiki/User_blog:AesDragon/Hidden_card_stats:_Projectile_travel_speeds
https://clashroyale.fandom.com/wiki/User_blog:AesDragon/Hidden_card_stats:_Area_damage_radius</x:v>
      </x:c>
      <x:c r="AA48" s="28" t="str">
        <x:v>https://github.com/smlbiobot/cr-csv/blob/master/assets/csv_logic/characters.csv
https://github.com/smlbiobot/cr-csv/blob/master/assets/csv_logic/projectiles.csv</x:v>
      </x:c>
      <x:c r="AB48" s="28" t="str">
        <x:v>Updated: L11 HP/area damage verified.</x:v>
      </x:c>
      <x:c r="AC48" t="str">
        <x:v>1.8</x:v>
      </x:c>
      <x:c r="AD48" t="str">
        <x:v>Homing projectile splash</x:v>
      </x:c>
    </x:row>
    <x:row r="49" ht="36" customHeight="1">
      <x:c r="A49" s="24" t="n">
        <x:v>48</x:v>
      </x:c>
      <x:c r="B49" s="22" t="str">
        <x:v>Miner</x:v>
      </x:c>
      <x:c r="C49" s="22" t="str">
        <x:v>Troop</x:v>
      </x:c>
      <x:c r="D49" s="22" t="str">
        <x:v>Legendary</x:v>
      </x:c>
      <x:c r="E49" s="24" t="n">
        <x:v>3</x:v>
      </x:c>
      <x:c r="F49" s="20" t="str">
        <x:v>1</x:v>
      </x:c>
      <x:c r="G49" s="20" t="str">
        <x:v>Ground</x:v>
      </x:c>
      <x:c r="H49" s="20" t="str">
        <x:v>Fast</x:v>
      </x:c>
      <x:c r="I49" s="26" t="n">
        <x:v>90</x:v>
      </x:c>
      <x:c r="J49" s="20" t="str">
        <x:v>1.2</x:v>
      </x:c>
      <x:c r="K49" s="20" t="n">
        <x:v>1.2</x:v>
      </x:c>
      <x:c r="L49" s="20" t="str">
        <x:v>1.0</x:v>
      </x:c>
      <x:c r="M49" s="20" t="str">
        <x:v>N/A</x:v>
      </x:c>
      <x:c r="N49" s="20" t="str">
        <x:v>1,210</x:v>
      </x:c>
      <x:c r="O49" s="20"/>
      <x:c r="P49" s="20" t="str">
        <x:v>194; 49 tower damage</x:v>
      </x:c>
      <x:c r="Q49" s="20" t="str">
        <x:v>See damage/effect note</x:v>
      </x:c>
      <x:c r="R49" s="20" t="str">
        <x:v>Attack projectile</x:v>
      </x:c>
      <x:c r="S49" s="20" t="str">
        <x:v>650 burrow</x:v>
      </x:c>
      <x:c r="T49" s="20" t="n">
        <x:v>6</x:v>
      </x:c>
      <x:c r="U49" s="20" t="n">
        <x:v>0.5</x:v>
      </x:c>
      <x:c r="V49" s="20" t="n">
        <x:v>5.5</x:v>
      </x:c>
      <x:c r="W49" s="20" t="str">
        <x:v>Can be deployed anywhere; reduced crown-tower damage.</x:v>
      </x:c>
      <x:c r="X49" s="28" t="str">
        <x:v>Level 11 public stats included where verified; hidden fields (mass/collision/sight/projectile/splash) cross-checked against AesDragon hidden-stat tables. N/A means not applicable.</x:v>
      </x:c>
      <x:c r="Y49" s="28" t="str">
        <x:v>https://www.deckshop.pro/card/stats
https://www.deckshop.pro/card/hitpoints
https://deckmelon.com/cards/miner
https://clashroyale.fandom.com/wiki/Miner
https://www.deckshop.pro/card/detail/miner</x:v>
      </x:c>
      <x:c r="Z49" s="28" t="str">
        <x:v>https://clashroyale.fandom.com/wiki/User_blog:AesDragon/Hidden_card_stats:_Mass
https://clashroyale.fandom.com/wiki/User_blog:AesDragon/Hidden_card_stats:_Collision_radius
https://clashroyale.fandom.com/wiki/User_blog:AesDragon/Hidden_card_stats:_Sight_range
https://clashroyale.fandom.com/wiki/User_blog:AesDragon/Hidden_card_stats:_Projectile_travel_speeds
https://clashroyale.fandom.com/wiki/User_blog:AesDragon/Hidden_card_stats:_Area_damage_radius</x:v>
      </x:c>
      <x:c r="AA49" s="28" t="str">
        <x:v>https://github.com/smlbiobot/cr-csv/blob/master/assets/csv_logic/characters.csv
https://github.com/smlbiobot/cr-csv/blob/master/assets/csv_logic/projectiles.csv</x:v>
      </x:c>
      <x:c r="AB49" s="28" t="str">
        <x:v>Updated: L11 HP/damage verified.</x:v>
      </x:c>
      <x:c r="AC49" t="str">
        <x:v>N/A</x:v>
      </x:c>
      <x:c r="AD49" t="str">
        <x:v>Single-target / no splash or AoE</x:v>
      </x:c>
    </x:row>
    <x:row r="50" ht="36" customHeight="1">
      <x:c r="A50" s="24" t="n">
        <x:v>49</x:v>
      </x:c>
      <x:c r="B50" s="22" t="str">
        <x:v>Princess</x:v>
      </x:c>
      <x:c r="C50" s="22" t="str">
        <x:v>Troop</x:v>
      </x:c>
      <x:c r="D50" s="22" t="str">
        <x:v>Legendary</x:v>
      </x:c>
      <x:c r="E50" s="24" t="n">
        <x:v>3</x:v>
      </x:c>
      <x:c r="F50" s="20" t="str">
        <x:v>1</x:v>
      </x:c>
      <x:c r="G50" s="20" t="str">
        <x:v>Air &amp; ground</x:v>
      </x:c>
      <x:c r="H50" s="20" t="str">
        <x:v>Medium</x:v>
      </x:c>
      <x:c r="I50" s="26" t="n">
        <x:v>60</x:v>
      </x:c>
      <x:c r="J50" s="20" t="str">
        <x:v>9.0</x:v>
      </x:c>
      <x:c r="K50" s="20" t="n">
        <x:v>3</x:v>
      </x:c>
      <x:c r="L50" s="20" t="str">
        <x:v>1.0</x:v>
      </x:c>
      <x:c r="M50" s="20" t="str">
        <x:v>N/A</x:v>
      </x:c>
      <x:c r="N50" s="20" t="str">
        <x:v>261</x:v>
      </x:c>
      <x:c r="O50" s="20"/>
      <x:c r="P50" s="20" t="str">
        <x:v>168 area</x:v>
      </x:c>
      <x:c r="Q50" s="20" t="str">
        <x:v>See damage/effect note</x:v>
      </x:c>
      <x:c r="R50" s="20" t="str">
        <x:v>Princess projectile</x:v>
      </x:c>
      <x:c r="S50" s="20" t="str">
        <x:v>600 attack</x:v>
      </x:c>
      <x:c r="T50" s="20" t="n">
        <x:v>3</x:v>
      </x:c>
      <x:c r="U50" s="20" t="n">
        <x:v>0.5</x:v>
      </x:c>
      <x:c r="V50" s="20" t="n">
        <x:v>9.5</x:v>
      </x:c>
      <x:c r="W50" s="20" t="str">
        <x:v>Extreme range splash attacker.</x:v>
      </x:c>
      <x:c r="X50" s="28" t="str">
        <x:v>Level 11 public stats included where verified; hidden fields (mass/collision/sight/projectile/splash) cross-checked against AesDragon hidden-stat tables. N/A means not applicable.</x:v>
      </x:c>
      <x:c r="Y50" s="28" t="str">
        <x:v>https://www.deckshop.pro/card/stats
https://www.deckshop.pro/card/hitpoints
https://deckmelon.com/cards/princess
https://clashroyale.fandom.com/wiki/Princess
https://decksforcr.com/card/detail/princess/
https://www.deckshop.pro/eg/card/detail/princess</x:v>
      </x:c>
      <x:c r="Z50" s="28" t="str">
        <x:v>https://clashroyale.fandom.com/wiki/User_blog:AesDragon/Hidden_card_stats:_Mass
https://clashroyale.fandom.com/wiki/User_blog:AesDragon/Hidden_card_stats:_Collision_radius
https://clashroyale.fandom.com/wiki/User_blog:AesDragon/Hidden_card_stats:_Sight_range
https://clashroyale.fandom.com/wiki/User_blog:AesDragon/Hidden_card_stats:_Projectile_travel_speeds
https://clashroyale.fandom.com/wiki/User_blog:AesDragon/Hidden_card_stats:_Area_damage_radius</x:v>
      </x:c>
      <x:c r="AA50" s="28" t="str">
        <x:v>https://github.com/smlbiobot/cr-csv/blob/master/assets/csv_logic/characters.csv
https://github.com/smlbiobot/cr-csv/blob/master/assets/csv_logic/projectiles.csv</x:v>
      </x:c>
      <x:c r="AB50" s="28" t="str">
        <x:v>Updated: L11 HP/damage verified; splash radius added.</x:v>
      </x:c>
      <x:c r="AC50" t="str">
        <x:v>2.0</x:v>
      </x:c>
      <x:c r="AD50" t="str">
        <x:v>Non-homing long-range splash</x:v>
      </x:c>
    </x:row>
    <x:row r="51" ht="36" customHeight="1">
      <x:c r="A51" s="24" t="n">
        <x:v>50</x:v>
      </x:c>
      <x:c r="B51" s="22" t="str">
        <x:v>Royal Ghost</x:v>
      </x:c>
      <x:c r="C51" s="22" t="str">
        <x:v>Troop</x:v>
      </x:c>
      <x:c r="D51" s="22" t="str">
        <x:v>Legendary</x:v>
      </x:c>
      <x:c r="E51" s="24" t="n">
        <x:v>3</x:v>
      </x:c>
      <x:c r="F51" s="20" t="str">
        <x:v>1</x:v>
      </x:c>
      <x:c r="G51" s="20" t="str">
        <x:v>Ground</x:v>
      </x:c>
      <x:c r="H51" s="20" t="str">
        <x:v>Fast</x:v>
      </x:c>
      <x:c r="I51" s="26" t="n">
        <x:v>90</x:v>
      </x:c>
      <x:c r="J51" s="20" t="str">
        <x:v>1.2</x:v>
      </x:c>
      <x:c r="K51" s="20" t="n">
        <x:v>1.8</x:v>
      </x:c>
      <x:c r="L51" s="20" t="str">
        <x:v>1.0</x:v>
      </x:c>
      <x:c r="M51" s="20" t="str">
        <x:v>N/A</x:v>
      </x:c>
      <x:c r="N51" s="20" t="str">
        <x:v>1,210</x:v>
      </x:c>
      <x:c r="O51" s="20"/>
      <x:c r="P51" s="20" t="str">
        <x:v>261 area</x:v>
      </x:c>
      <x:c r="Q51" s="20" t="str">
        <x:v>See damage/effect note</x:v>
      </x:c>
      <x:c r="R51" s="20" t="str">
        <x:v>Melee / no projectile</x:v>
      </x:c>
      <x:c r="S51" s="20" t="str">
        <x:v>—</x:v>
      </x:c>
      <x:c r="T51" s="20" t="n">
        <x:v>3</x:v>
      </x:c>
      <x:c r="U51" s="20" t="n">
        <x:v>0.6</x:v>
      </x:c>
      <x:c r="V51" s="20" t="n">
        <x:v>5.5</x:v>
      </x:c>
      <x:c r="W51" s="20" t="str">
        <x:v>Invisible until attacking or revealed by proximity; area melee.</x:v>
      </x:c>
      <x:c r="X51" s="28" t="str">
        <x:v>Level 11 public stats included where verified; hidden fields (mass/collision/sight/projectile/splash) cross-checked against AesDragon hidden-stat tables. N/A means not applicable.</x:v>
      </x:c>
      <x:c r="Y51" s="28" t="str">
        <x:v>https://www.deckshop.pro/card/stats
https://www.deckshop.pro/card/hitpoints
https://deckmelon.com/cards/royal-ghost
https://clashroyale.fandom.com/wiki/Royal_Ghost
https://www.deckshop.pro/card/detail/royal-ghost</x:v>
      </x:c>
      <x:c r="Z51" s="28" t="str">
        <x:v>https://clashroyale.fandom.com/wiki/User_blog:AesDragon/Hidden_card_stats:_Mass
https://clashroyale.fandom.com/wiki/User_blog:AesDragon/Hidden_card_stats:_Collision_radius
https://clashroyale.fandom.com/wiki/User_blog:AesDragon/Hidden_card_stats:_Sight_range
https://clashroyale.fandom.com/wiki/User_blog:AesDragon/Hidden_card_stats:_Projectile_travel_speeds
https://clashroyale.fandom.com/wiki/User_blog:AesDragon/Hidden_card_stats:_Area_damage_radius</x:v>
      </x:c>
      <x:c r="AA51" s="28" t="str">
        <x:v>https://github.com/smlbiobot/cr-csv/blob/master/assets/csv_logic/characters.csv
https://github.com/smlbiobot/cr-csv/blob/master/assets/csv_logic/projectiles.csv</x:v>
      </x:c>
      <x:c r="AB51" s="28" t="str">
        <x:v>Updated: L11 HP/damage verified; splash radius added.</x:v>
      </x:c>
      <x:c r="AC51" t="str">
        <x:v>1.0</x:v>
      </x:c>
      <x:c r="AD51" t="str">
        <x:v>Non-homing melee splash</x:v>
      </x:c>
    </x:row>
    <x:row r="52" ht="36" customHeight="1">
      <x:c r="A52" s="24" t="n">
        <x:v>51</x:v>
      </x:c>
      <x:c r="B52" s="22" t="str">
        <x:v>Ice Wizard</x:v>
      </x:c>
      <x:c r="C52" s="22" t="str">
        <x:v>Troop</x:v>
      </x:c>
      <x:c r="D52" s="22" t="str">
        <x:v>Legendary</x:v>
      </x:c>
      <x:c r="E52" s="24" t="n">
        <x:v>3</x:v>
      </x:c>
      <x:c r="F52" s="20" t="str">
        <x:v>1</x:v>
      </x:c>
      <x:c r="G52" s="20" t="str">
        <x:v>Air &amp; ground</x:v>
      </x:c>
      <x:c r="H52" s="20" t="str">
        <x:v>Medium</x:v>
      </x:c>
      <x:c r="I52" s="26" t="n">
        <x:v>60</x:v>
      </x:c>
      <x:c r="J52" s="20" t="str">
        <x:v>5.5</x:v>
      </x:c>
      <x:c r="K52" s="20" t="n">
        <x:v>1.7</x:v>
      </x:c>
      <x:c r="L52" s="20" t="str">
        <x:v>1.0</x:v>
      </x:c>
      <x:c r="M52" s="20" t="str">
        <x:v>N/A</x:v>
      </x:c>
      <x:c r="N52" s="20" t="str">
        <x:v>688</x:v>
      </x:c>
      <x:c r="O52" s="20"/>
      <x:c r="P52" s="20" t="str">
        <x:v>89 area + slow</x:v>
      </x:c>
      <x:c r="Q52" s="20" t="str">
        <x:v>See damage/effect note</x:v>
      </x:c>
      <x:c r="R52" s="20" t="str">
        <x:v>Ice Wizard projectile</x:v>
      </x:c>
      <x:c r="S52" s="20" t="str">
        <x:v>700 attack</x:v>
      </x:c>
      <x:c r="T52" s="20" t="n">
        <x:v>5</x:v>
      </x:c>
      <x:c r="U52" s="20" t="n">
        <x:v>0.5</x:v>
      </x:c>
      <x:c r="V52" s="20" t="n">
        <x:v>5.5</x:v>
      </x:c>
      <x:c r="W52" s="20" t="str">
        <x:v>Ranged support that slows targets.</x:v>
      </x:c>
      <x:c r="X52" s="28" t="str">
        <x:v>Level 11 public stats included where verified; hidden fields (mass/collision/sight/projectile/splash) cross-checked against AesDragon hidden-stat tables. N/A means not applicable.</x:v>
      </x:c>
      <x:c r="Y52" s="28" t="str">
        <x:v>https://www.deckshop.pro/card/stats
https://www.deckshop.pro/card/hitpoints
https://deckmelon.com/cards/ice-wizard
https://clashroyale.fandom.com/wiki/Ice_Wizard
https://www.deckshop.pro/card/detail/ice-wizard
https://www.clashroyaledeckbuilder.net/clash-royale-cards/ice_wizard</x:v>
      </x:c>
      <x:c r="Z52" s="28" t="str">
        <x:v>https://clashroyale.fandom.com/wiki/User_blog:AesDragon/Hidden_card_stats:_Mass
https://clashroyale.fandom.com/wiki/User_blog:AesDragon/Hidden_card_stats:_Collision_radius
https://clashroyale.fandom.com/wiki/User_blog:AesDragon/Hidden_card_stats:_Sight_range
https://clashroyale.fandom.com/wiki/User_blog:AesDragon/Hidden_card_stats:_Projectile_travel_speeds
https://clashroyale.fandom.com/wiki/User_blog:AesDragon/Hidden_card_stats:_Area_damage_radius</x:v>
      </x:c>
      <x:c r="AA52" s="28" t="str">
        <x:v>https://github.com/smlbiobot/cr-csv/blob/master/assets/csv_logic/characters.csv
https://github.com/smlbiobot/cr-csv/blob/master/assets/csv_logic/projectiles.csv</x:v>
      </x:c>
      <x:c r="AB52" s="28" t="str">
        <x:v>Updated: L11 HP/damage verified; splash radius added.</x:v>
      </x:c>
      <x:c r="AC52" t="str">
        <x:v>1.0</x:v>
      </x:c>
      <x:c r="AD52" t="str">
        <x:v>Homing projectile splash + slow</x:v>
      </x:c>
    </x:row>
    <x:row r="53" ht="36" customHeight="1">
      <x:c r="A53" s="24" t="n">
        <x:v>52</x:v>
      </x:c>
      <x:c r="B53" s="22" t="str">
        <x:v>Bandit</x:v>
      </x:c>
      <x:c r="C53" s="22" t="str">
        <x:v>Troop</x:v>
      </x:c>
      <x:c r="D53" s="22" t="str">
        <x:v>Legendary</x:v>
      </x:c>
      <x:c r="E53" s="24" t="n">
        <x:v>3</x:v>
      </x:c>
      <x:c r="F53" s="20" t="str">
        <x:v>1</x:v>
      </x:c>
      <x:c r="G53" s="20" t="str">
        <x:v>Ground</x:v>
      </x:c>
      <x:c r="H53" s="20" t="str">
        <x:v>Fast</x:v>
      </x:c>
      <x:c r="I53" s="26" t="n">
        <x:v>90</x:v>
      </x:c>
      <x:c r="J53" s="20" t="str">
        <x:v>0.8 melee; 3.5–6 dash</x:v>
      </x:c>
      <x:c r="K53" s="20" t="n">
        <x:v>1</x:v>
      </x:c>
      <x:c r="L53" s="20" t="str">
        <x:v>1.0</x:v>
      </x:c>
      <x:c r="M53" s="20" t="str">
        <x:v>N/A</x:v>
      </x:c>
      <x:c r="N53" s="20" t="str">
        <x:v>906</x:v>
      </x:c>
      <x:c r="O53" s="20"/>
      <x:c r="P53" s="20" t="str">
        <x:v>194 / 389 dash</x:v>
      </x:c>
      <x:c r="Q53" s="20" t="str">
        <x:v>See damage/effect note</x:v>
      </x:c>
      <x:c r="R53" s="20" t="str">
        <x:v>Melee / no projectile</x:v>
      </x:c>
      <x:c r="S53" s="20" t="str">
        <x:v>—</x:v>
      </x:c>
      <x:c r="T53" s="20" t="n">
        <x:v>3</x:v>
      </x:c>
      <x:c r="U53" s="20" t="n">
        <x:v>0.6</x:v>
      </x:c>
      <x:c r="V53" s="20" t="n">
        <x:v>6</x:v>
      </x:c>
      <x:c r="W53" s="20" t="str">
        <x:v>Dash makes her briefly invulnerable; burst engage.</x:v>
      </x:c>
      <x:c r="X53" s="28" t="str">
        <x:v>Level 11 public stats included where verified; hidden fields (mass/collision/sight/projectile/splash) cross-checked against AesDragon hidden-stat tables. N/A means not applicable.</x:v>
      </x:c>
      <x:c r="Y53" s="28" t="str">
        <x:v>https://www.deckshop.pro/card/stats
https://www.deckshop.pro/card/hitpoints
https://deckmelon.com/cards/bandit
https://clashroyale.fandom.com/wiki/Bandit
https://www.deckshop.pro/card/detail/bandit</x:v>
      </x:c>
      <x:c r="Z53" s="28" t="str">
        <x:v>https://clashroyale.fandom.com/wiki/User_blog:AesDragon/Hidden_card_stats:_Mass
https://clashroyale.fandom.com/wiki/User_blog:AesDragon/Hidden_card_stats:_Collision_radius
https://clashroyale.fandom.com/wiki/User_blog:AesDragon/Hidden_card_stats:_Sight_range
https://clashroyale.fandom.com/wiki/User_blog:AesDragon/Hidden_card_stats:_Projectile_travel_speeds
https://clashroyale.fandom.com/wiki/User_blog:AesDragon/Hidden_card_stats:_Area_damage_radius</x:v>
      </x:c>
      <x:c r="AA53" s="28" t="str">
        <x:v>https://github.com/smlbiobot/cr-csv/blob/master/assets/csv_logic/characters.csv
https://github.com/smlbiobot/cr-csv/blob/master/assets/csv_logic/projectiles.csv</x:v>
      </x:c>
      <x:c r="AB53" s="28" t="str">
        <x:v>Updated: L11 HP/damage and dash damage verified.</x:v>
      </x:c>
      <x:c r="AC53" t="str">
        <x:v>N/A</x:v>
      </x:c>
      <x:c r="AD53" t="str">
        <x:v>Single-target / no splash or AoE</x:v>
      </x:c>
    </x:row>
    <x:row r="54" ht="36" customHeight="1">
      <x:c r="A54" s="24" t="n">
        <x:v>53</x:v>
      </x:c>
      <x:c r="B54" s="22" t="str">
        <x:v>Lava Hound</x:v>
      </x:c>
      <x:c r="C54" s="22" t="str">
        <x:v>Troop</x:v>
      </x:c>
      <x:c r="D54" s="22" t="str">
        <x:v>Legendary</x:v>
      </x:c>
      <x:c r="E54" s="24" t="n">
        <x:v>7</x:v>
      </x:c>
      <x:c r="F54" s="20" t="str">
        <x:v>1 + Lava Pups on death</x:v>
      </x:c>
      <x:c r="G54" s="20" t="str">
        <x:v>Buildings</x:v>
      </x:c>
      <x:c r="H54" s="20" t="str">
        <x:v>Slow</x:v>
      </x:c>
      <x:c r="I54" s="26" t="n">
        <x:v>45</x:v>
      </x:c>
      <x:c r="J54" s="20" t="str">
        <x:v>3.5</x:v>
      </x:c>
      <x:c r="K54" s="20" t="n">
        <x:v>1.3</x:v>
      </x:c>
      <x:c r="L54" s="20" t="str">
        <x:v>1.0</x:v>
      </x:c>
      <x:c r="M54" s="20" t="str">
        <x:v>N/A</x:v>
      </x:c>
      <x:c r="N54" s="20" t="str">
        <x:v>3,581 Hound; 217 per Lava Pup</x:v>
      </x:c>
      <x:c r="O54" s="20"/>
      <x:c r="P54" s="20" t="str">
        <x:v>53 Hound; 81 per Lava Pup ×6</x:v>
      </x:c>
      <x:c r="Q54" s="20" t="str">
        <x:v>See damage/effect note</x:v>
      </x:c>
      <x:c r="R54" s="20" t="str">
        <x:v>LavaHoundProjectile</x:v>
      </x:c>
      <x:c r="S54" s="20" t="str">
        <x:v>400 attack</x:v>
      </x:c>
      <x:c r="T54" s="20" t="n">
        <x:v>5</x:v>
      </x:c>
      <x:c r="U54" s="20" t="n">
        <x:v>0.75</x:v>
      </x:c>
      <x:c r="V54" s="20" t="n">
        <x:v>5.5</x:v>
      </x:c>
      <x:c r="W54" s="20" t="str">
        <x:v>Flying building-targeting tank; splits into Lava Pups.</x:v>
      </x:c>
      <x:c r="X54" s="28" t="str">
        <x:v>Level 11 public stats included where verified; hidden fields (mass/collision/sight/projectile/splash) cross-checked against AesDragon hidden-stat tables. N/A means not applicable.</x:v>
      </x:c>
      <x:c r="Y54" s="28" t="str">
        <x:v>https://www.deckshop.pro/card/stats
https://www.deckshop.pro/card/hitpoints
https://deckmelon.com/cards/lava-hound
https://clashroyale.fandom.com/wiki/Lava_Hound
https://www.deckshop.pro/card/detail/lava-hound</x:v>
      </x:c>
      <x:c r="Z54" s="28" t="str">
        <x:v>https://clashroyale.fandom.com/wiki/User_blog:AesDragon/Hidden_card_stats:_Mass
https://clashroyale.fandom.com/wiki/User_blog:AesDragon/Hidden_card_stats:_Collision_radius
https://clashroyale.fandom.com/wiki/User_blog:AesDragon/Hidden_card_stats:_Sight_range
https://clashroyale.fandom.com/wiki/User_blog:AesDragon/Hidden_card_stats:_Projectile_travel_speeds
https://clashroyale.fandom.com/wiki/User_blog:AesDragon/Hidden_card_stats:_Area_damage_radius</x:v>
      </x:c>
      <x:c r="AA54" s="28" t="str">
        <x:v>https://github.com/smlbiobot/cr-csv/blob/master/assets/csv_logic/characters.csv
https://github.com/smlbiobot/cr-csv/blob/master/assets/csv_logic/projectiles.csv</x:v>
      </x:c>
      <x:c r="AB54" s="28" t="str">
        <x:v>Updated: L11 Hound and Lava Pup stats verified.</x:v>
      </x:c>
      <x:c r="AC54" t="str">
        <x:v>N/A</x:v>
      </x:c>
      <x:c r="AD54" t="str">
        <x:v>Single-target / no splash or AoE</x:v>
      </x:c>
    </x:row>
    <x:row r="55" ht="36" customHeight="1">
      <x:c r="A55" s="24" t="n">
        <x:v>54</x:v>
      </x:c>
      <x:c r="B55" s="22" t="str">
        <x:v>Night Witch</x:v>
      </x:c>
      <x:c r="C55" s="22" t="str">
        <x:v>Troop</x:v>
      </x:c>
      <x:c r="D55" s="22" t="str">
        <x:v>Legendary</x:v>
      </x:c>
      <x:c r="E55" s="24" t="n">
        <x:v>4</x:v>
      </x:c>
      <x:c r="F55" s="20" t="str">
        <x:v>1 + Bat spawns</x:v>
      </x:c>
      <x:c r="G55" s="20" t="str">
        <x:v>Ground</x:v>
      </x:c>
      <x:c r="H55" s="20" t="str">
        <x:v>Medium</x:v>
      </x:c>
      <x:c r="I55" s="26" t="n">
        <x:v>60</x:v>
      </x:c>
      <x:c r="J55" s="20" t="str">
        <x:v>1.6</x:v>
      </x:c>
      <x:c r="K55" s="20" t="n">
        <x:v>1.5</x:v>
      </x:c>
      <x:c r="L55" s="20" t="str">
        <x:v>1.0</x:v>
      </x:c>
      <x:c r="M55" s="20" t="str">
        <x:v>N/A</x:v>
      </x:c>
      <x:c r="N55" s="20" t="str">
        <x:v>907</x:v>
      </x:c>
      <x:c r="O55" s="20"/>
      <x:c r="P55" s="20" t="str">
        <x:v>314 + Bats</x:v>
      </x:c>
      <x:c r="Q55" s="20" t="str">
        <x:v>See damage/effect note</x:v>
      </x:c>
      <x:c r="R55" s="20" t="str">
        <x:v>Melee / no projectile</x:v>
      </x:c>
      <x:c r="S55" s="20" t="str">
        <x:v>—</x:v>
      </x:c>
      <x:c r="T55" s="20" t="n">
        <x:v>4</x:v>
      </x:c>
      <x:c r="U55" s="20" t="n">
        <x:v>0.5</x:v>
      </x:c>
      <x:c r="V55" s="20" t="n">
        <x:v>5.5</x:v>
      </x:c>
      <x:c r="W55" s="20" t="str">
        <x:v>Melee support that spawns Bats.</x:v>
      </x:c>
      <x:c r="X55" s="28" t="str">
        <x:v>Level 11 public stats included where verified; hidden fields (mass/collision/sight/projectile/splash) cross-checked against AesDragon hidden-stat tables. N/A means not applicable.</x:v>
      </x:c>
      <x:c r="Y55" s="28" t="str">
        <x:v>https://www.deckshop.pro/card/stats
https://www.deckshop.pro/card/hitpoints
https://deckmelon.com/cards/night-witch
https://clashroyale.fandom.com/wiki/Night_Witch</x:v>
      </x:c>
      <x:c r="Z55" s="28" t="str">
        <x:v>https://clashroyale.fandom.com/wiki/User_blog:AesDragon/Hidden_card_stats:_Mass
https://clashroyale.fandom.com/wiki/User_blog:AesDragon/Hidden_card_stats:_Collision_radius
https://clashroyale.fandom.com/wiki/User_blog:AesDragon/Hidden_card_stats:_Sight_range
https://clashroyale.fandom.com/wiki/User_blog:AesDragon/Hidden_card_stats:_Projectile_travel_speeds
https://clashroyale.fandom.com/wiki/User_blog:AesDragon/Hidden_card_stats:_Area_damage_radius</x:v>
      </x:c>
      <x:c r="AA55" s="28" t="str">
        <x:v>https://github.com/smlbiobot/cr-csv/blob/master/assets/csv_logic/characters.csv
https://github.com/smlbiobot/cr-csv/blob/master/assets/csv_logic/projectiles.csv</x:v>
      </x:c>
      <x:c r="AB55" s="28" t="str">
        <x:v>Current L11 from Deckshop snippet.</x:v>
      </x:c>
      <x:c r="AC55" t="str">
        <x:v>N/A</x:v>
      </x:c>
      <x:c r="AD55" t="str">
        <x:v>Single-target / no splash or AoE</x:v>
      </x:c>
    </x:row>
    <x:row r="56" ht="36" customHeight="1">
      <x:c r="A56" s="24" t="n">
        <x:v>55</x:v>
      </x:c>
      <x:c r="B56" s="22" t="str">
        <x:v>Lumberjack</x:v>
      </x:c>
      <x:c r="C56" s="22" t="str">
        <x:v>Troop</x:v>
      </x:c>
      <x:c r="D56" s="22" t="str">
        <x:v>Legendary</x:v>
      </x:c>
      <x:c r="E56" s="24" t="n">
        <x:v>4</x:v>
      </x:c>
      <x:c r="F56" s="20" t="str">
        <x:v>1</x:v>
      </x:c>
      <x:c r="G56" s="20" t="str">
        <x:v>Ground</x:v>
      </x:c>
      <x:c r="H56" s="20" t="str">
        <x:v>Very Fast</x:v>
      </x:c>
      <x:c r="I56" s="26" t="n">
        <x:v>120</x:v>
      </x:c>
      <x:c r="J56" s="20" t="str">
        <x:v>0.8</x:v>
      </x:c>
      <x:c r="K56" s="20" t="n">
        <x:v>0.8</x:v>
      </x:c>
      <x:c r="L56" s="20" t="str">
        <x:v>1.0</x:v>
      </x:c>
      <x:c r="M56" s="20" t="str">
        <x:v>N/A</x:v>
      </x:c>
      <x:c r="N56" s="20" t="str">
        <x:v>1,282</x:v>
      </x:c>
      <x:c r="O56" s="20"/>
      <x:c r="P56" s="20" t="str">
        <x:v>256; drops Rage effect on death</x:v>
      </x:c>
      <x:c r="Q56" s="20" t="str">
        <x:v>See damage/effect note</x:v>
      </x:c>
      <x:c r="R56" s="20" t="str">
        <x:v>Melee / no projectile</x:v>
      </x:c>
      <x:c r="S56" s="20" t="str">
        <x:v>—</x:v>
      </x:c>
      <x:c r="T56" s="20" t="n">
        <x:v>4</x:v>
      </x:c>
      <x:c r="U56" s="20" t="n">
        <x:v>0.5</x:v>
      </x:c>
      <x:c r="V56" s="20" t="n">
        <x:v>5.5</x:v>
      </x:c>
      <x:c r="W56" s="20" t="str">
        <x:v>Fast melee; drops Rage on death.</x:v>
      </x:c>
      <x:c r="X56" s="28" t="str">
        <x:v>Level 11 public stats included where verified; hidden fields (mass/collision/sight/projectile/splash) cross-checked against AesDragon hidden-stat tables. N/A means not applicable.</x:v>
      </x:c>
      <x:c r="Y56" s="28" t="str">
        <x:v>https://www.deckshop.pro/card/stats
https://www.deckshop.pro/card/hitpoints
https://deckmelon.com/cards/lumberjack
https://clashroyale.fandom.com/wiki/Lumberjack
https://www.deckshop.pro/card/detail/lumberjack</x:v>
      </x:c>
      <x:c r="Z56" s="28" t="str">
        <x:v>https://clashroyale.fandom.com/wiki/User_blog:AesDragon/Hidden_card_stats:_Mass
https://clashroyale.fandom.com/wiki/User_blog:AesDragon/Hidden_card_stats:_Collision_radius
https://clashroyale.fandom.com/wiki/User_blog:AesDragon/Hidden_card_stats:_Sight_range
https://clashroyale.fandom.com/wiki/User_blog:AesDragon/Hidden_card_stats:_Projectile_travel_speeds
https://clashroyale.fandom.com/wiki/User_blog:AesDragon/Hidden_card_stats:_Area_damage_radius</x:v>
      </x:c>
      <x:c r="AA56" s="28" t="str">
        <x:v>https://github.com/smlbiobot/cr-csv/blob/master/assets/csv_logic/characters.csv
https://github.com/smlbiobot/cr-csv/blob/master/assets/csv_logic/projectiles.csv</x:v>
      </x:c>
      <x:c r="AB56" s="28" t="str">
        <x:v>Updated: L11 HP/damage verified; death Rage effect noted.</x:v>
      </x:c>
      <x:c r="AC56" t="str">
        <x:v>N/A</x:v>
      </x:c>
      <x:c r="AD56" t="str">
        <x:v>Single-target / no splash or AoE</x:v>
      </x:c>
    </x:row>
    <x:row r="57" ht="36" customHeight="1">
      <x:c r="A57" s="24" t="n">
        <x:v>56</x:v>
      </x:c>
      <x:c r="B57" s="22" t="str">
        <x:v>Arrows</x:v>
      </x:c>
      <x:c r="C57" s="22" t="str">
        <x:v>Spell</x:v>
      </x:c>
      <x:c r="D57" s="22" t="str">
        <x:v>Common</x:v>
      </x:c>
      <x:c r="E57" s="24" t="n">
        <x:v>3</x:v>
      </x:c>
      <x:c r="F57" s="20" t="str">
        <x:v>1</x:v>
      </x:c>
      <x:c r="G57" s="20" t="str">
        <x:v>Air &amp; ground</x:v>
      </x:c>
      <x:c r="H57" s="20" t="str">
        <x:v>Stationary / N/A</x:v>
      </x:c>
      <x:c r="I57" s="26" t="str">
        <x:v>N/A</x:v>
      </x:c>
      <x:c r="J57" s="20" t="str">
        <x:v>3.5 radius</x:v>
      </x:c>
      <x:c r="K57" s="20" t="str">
        <x:v>N/A</x:v>
      </x:c>
      <x:c r="L57" s="20" t="str">
        <x:v>Cast</x:v>
      </x:c>
      <x:c r="M57" s="20" t="str">
        <x:v>Instant travel</x:v>
      </x:c>
      <x:c r="N57" s="20" t="str">
        <x:v>N/A</x:v>
      </x:c>
      <x:c r="O57" s="20"/>
      <x:c r="P57" s="20" t="str">
        <x:v>366 area / 110 tower</x:v>
      </x:c>
      <x:c r="Q57" s="20" t="str">
        <x:v>See damage/effect note</x:v>
      </x:c>
      <x:c r="R57" s="20" t="str">
        <x:v>Arrows spell object</x:v>
      </x:c>
      <x:c r="S57" s="20" t="str">
        <x:v>1100 spell</x:v>
      </x:c>
      <x:c r="T57" s="20" t="str">
        <x:v>N/A</x:v>
      </x:c>
      <x:c r="U57" s="20" t="str">
        <x:v>N/A</x:v>
      </x:c>
      <x:c r="V57" s="20" t="str">
        <x:v>N/A</x:v>
      </x:c>
      <x:c r="W57" s="20" t="str">
        <x:v>Three-wave air/ground spell; broad radius.</x:v>
      </x:c>
      <x:c r="X57" s="28" t="str">
        <x:v>Level 11 public stats included where verified; hidden fields (mass/collision/sight/projectile/splash) cross-checked against AesDragon hidden-stat tables. N/A means not applicable.</x:v>
      </x:c>
      <x:c r="Y57" s="28" t="str">
        <x:v>https://www.deckshop.pro/card/stats
https://www.deckshop.pro/card/hitpoints
https://deckmelon.com/cards/arrows
https://clashroyale.fandom.com/wiki/Arrows</x:v>
      </x:c>
      <x:c r="Z57" s="28" t="str">
        <x:v>https://clashroyale.fandom.com/wiki/User_blog:AesDragon/Hidden_card_stats:_Mass
https://clashroyale.fandom.com/wiki/User_blog:AesDragon/Hidden_card_stats:_Collision_radius
https://clashroyale.fandom.com/wiki/User_blog:AesDragon/Hidden_card_stats:_Sight_range
https://clashroyale.fandom.com/wiki/User_blog:AesDragon/Hidden_card_stats:_Projectile_travel_speeds
https://clashroyale.fandom.com/wiki/User_blog:AesDragon/Hidden_card_stats:_Area_damage_radius</x:v>
      </x:c>
      <x:c r="AA57" s="28" t="str">
        <x:v>https://github.com/smlbiobot/cr-csv/blob/master/assets/csv_logic/characters.csv
https://github.com/smlbiobot/cr-csv/blob/master/assets/csv_logic/projectiles.csv</x:v>
      </x:c>
      <x:c r="AB57" s="28" t="str">
        <x:v>Current L11 from Deck Shop.</x:v>
      </x:c>
      <x:c r="AC57" t="str">
        <x:v>3.5</x:v>
      </x:c>
      <x:c r="AD57" t="str">
        <x:v>Spell AoE/effect radius</x:v>
      </x:c>
    </x:row>
    <x:row r="58" ht="36" customHeight="1">
      <x:c r="A58" s="24" t="n">
        <x:v>57</x:v>
      </x:c>
      <x:c r="B58" s="22" t="str">
        <x:v>Zap</x:v>
      </x:c>
      <x:c r="C58" s="22" t="str">
        <x:v>Spell</x:v>
      </x:c>
      <x:c r="D58" s="22" t="str">
        <x:v>Common</x:v>
      </x:c>
      <x:c r="E58" s="24" t="n">
        <x:v>2</x:v>
      </x:c>
      <x:c r="F58" s="20" t="str">
        <x:v>1</x:v>
      </x:c>
      <x:c r="G58" s="20" t="str">
        <x:v>Air &amp; ground</x:v>
      </x:c>
      <x:c r="H58" s="20" t="str">
        <x:v>Stationary / N/A</x:v>
      </x:c>
      <x:c r="I58" s="26" t="str">
        <x:v>N/A</x:v>
      </x:c>
      <x:c r="J58" s="20" t="str">
        <x:v>2.5 radius</x:v>
      </x:c>
      <x:c r="K58" s="20" t="str">
        <x:v>N/A</x:v>
      </x:c>
      <x:c r="L58" s="20" t="str">
        <x:v>Cast</x:v>
      </x:c>
      <x:c r="M58" s="20" t="str">
        <x:v>Instant</x:v>
      </x:c>
      <x:c r="N58" s="20" t="str">
        <x:v>N/A</x:v>
      </x:c>
      <x:c r="O58" s="20"/>
      <x:c r="P58" s="20" t="str">
        <x:v>192 area / 58 tower</x:v>
      </x:c>
      <x:c r="Q58" s="20" t="str">
        <x:v>See damage/effect note</x:v>
      </x:c>
      <x:c r="R58" s="20" t="str">
        <x:v>Zap spell object</x:v>
      </x:c>
      <x:c r="S58" s="20" t="str">
        <x:v>instant/no projectile</x:v>
      </x:c>
      <x:c r="T58" s="20" t="str">
        <x:v>N/A</x:v>
      </x:c>
      <x:c r="U58" s="20" t="str">
        <x:v>N/A</x:v>
      </x:c>
      <x:c r="V58" s="20" t="str">
        <x:v>N/A</x:v>
      </x:c>
      <x:c r="W58" s="20" t="str">
        <x:v>Instant small spell; stuns/resets and damages.</x:v>
      </x:c>
      <x:c r="X58" s="28" t="str">
        <x:v>Level 11 public stats included where verified; hidden fields (mass/collision/sight/projectile/splash) cross-checked against AesDragon hidden-stat tables. N/A means not applicable.</x:v>
      </x:c>
      <x:c r="Y58" s="28" t="str">
        <x:v>https://www.deckshop.pro/card/stats
https://www.deckshop.pro/card/hitpoints
https://deckmelon.com/cards/zap
https://clashroyale.fandom.com/wiki/Zap</x:v>
      </x:c>
      <x:c r="Z58" s="28" t="str">
        <x:v>https://clashroyale.fandom.com/wiki/User_blog:AesDragon/Hidden_card_stats:_Mass
https://clashroyale.fandom.com/wiki/User_blog:AesDragon/Hidden_card_stats:_Collision_radius
https://clashroyale.fandom.com/wiki/User_blog:AesDragon/Hidden_card_stats:_Sight_range
https://clashroyale.fandom.com/wiki/User_blog:AesDragon/Hidden_card_stats:_Projectile_travel_speeds
https://clashroyale.fandom.com/wiki/User_blog:AesDragon/Hidden_card_stats:_Area_damage_radius</x:v>
      </x:c>
      <x:c r="AA58" s="28" t="str">
        <x:v>https://github.com/smlbiobot/cr-csv/blob/master/assets/csv_logic/characters.csv
https://github.com/smlbiobot/cr-csv/blob/master/assets/csv_logic/projectiles.csv</x:v>
      </x:c>
      <x:c r="AB58" s="28" t="str">
        <x:v>Current L11 from Deck Shop.</x:v>
      </x:c>
      <x:c r="AC58" t="str">
        <x:v>2.5</x:v>
      </x:c>
      <x:c r="AD58" t="str">
        <x:v>Spell AoE/effect radius</x:v>
      </x:c>
    </x:row>
    <x:row r="59" ht="36" customHeight="1">
      <x:c r="A59" s="24" t="n">
        <x:v>58</x:v>
      </x:c>
      <x:c r="B59" s="22" t="str">
        <x:v>Fireball</x:v>
      </x:c>
      <x:c r="C59" s="22" t="str">
        <x:v>Spell</x:v>
      </x:c>
      <x:c r="D59" s="22" t="str">
        <x:v>Rare</x:v>
      </x:c>
      <x:c r="E59" s="24" t="n">
        <x:v>4</x:v>
      </x:c>
      <x:c r="F59" s="20" t="str">
        <x:v>1</x:v>
      </x:c>
      <x:c r="G59" s="20" t="str">
        <x:v>Air &amp; ground</x:v>
      </x:c>
      <x:c r="H59" s="20" t="str">
        <x:v>Stationary / N/A</x:v>
      </x:c>
      <x:c r="I59" s="26" t="str">
        <x:v>N/A</x:v>
      </x:c>
      <x:c r="J59" s="20" t="str">
        <x:v>2.5 radius</x:v>
      </x:c>
      <x:c r="K59" s="20" t="str">
        <x:v>N/A</x:v>
      </x:c>
      <x:c r="L59" s="20" t="str">
        <x:v>Cast</x:v>
      </x:c>
      <x:c r="M59" s="20" t="str">
        <x:v>Traveling spell</x:v>
      </x:c>
      <x:c r="N59" s="20" t="str">
        <x:v>N/A</x:v>
      </x:c>
      <x:c r="O59" s="20"/>
      <x:c r="P59" s="20" t="str">
        <x:v>688 area / 207 tower</x:v>
      </x:c>
      <x:c r="Q59" s="20" t="str">
        <x:v>See damage/effect note</x:v>
      </x:c>
      <x:c r="R59" s="20" t="str">
        <x:v>Fireball spell object</x:v>
      </x:c>
      <x:c r="S59" s="20" t="str">
        <x:v>600 spell</x:v>
      </x:c>
      <x:c r="T59" s="20" t="str">
        <x:v>N/A</x:v>
      </x:c>
      <x:c r="U59" s="20" t="str">
        <x:v>N/A</x:v>
      </x:c>
      <x:c r="V59" s="20" t="str">
        <x:v>N/A</x:v>
      </x:c>
      <x:c r="W59" s="20" t="str">
        <x:v>Medium-radius damage with knockback.</x:v>
      </x:c>
      <x:c r="X59" s="28" t="str">
        <x:v>Level 11 public stats included where verified; hidden fields (mass/collision/sight/projectile/splash) cross-checked against AesDragon hidden-stat tables. N/A means not applicable.</x:v>
      </x:c>
      <x:c r="Y59" s="28" t="str">
        <x:v>https://www.deckshop.pro/card/stats
https://www.deckshop.pro/card/hitpoints
https://deckmelon.com/cards/fireball
https://clashroyale.fandom.com/wiki/Fireball</x:v>
      </x:c>
      <x:c r="Z59" s="28" t="str">
        <x:v>https://clashroyale.fandom.com/wiki/User_blog:AesDragon/Hidden_card_stats:_Mass
https://clashroyale.fandom.com/wiki/User_blog:AesDragon/Hidden_card_stats:_Collision_radius
https://clashroyale.fandom.com/wiki/User_blog:AesDragon/Hidden_card_stats:_Sight_range
https://clashroyale.fandom.com/wiki/User_blog:AesDragon/Hidden_card_stats:_Projectile_travel_speeds
https://clashroyale.fandom.com/wiki/User_blog:AesDragon/Hidden_card_stats:_Area_damage_radius</x:v>
      </x:c>
      <x:c r="AA59" s="28" t="str">
        <x:v>https://github.com/smlbiobot/cr-csv/blob/master/assets/csv_logic/characters.csv
https://github.com/smlbiobot/cr-csv/blob/master/assets/csv_logic/projectiles.csv</x:v>
      </x:c>
      <x:c r="AB59" s="28" t="str">
        <x:v>Current L11 from Deckmelon.</x:v>
      </x:c>
      <x:c r="AC59" t="str">
        <x:v>2.5</x:v>
      </x:c>
      <x:c r="AD59" t="str">
        <x:v>Spell AoE/effect radius</x:v>
      </x:c>
    </x:row>
    <x:row r="60" ht="36" customHeight="1">
      <x:c r="A60" s="24" t="n">
        <x:v>59</x:v>
      </x:c>
      <x:c r="B60" s="22" t="str">
        <x:v>Rocket</x:v>
      </x:c>
      <x:c r="C60" s="22" t="str">
        <x:v>Spell</x:v>
      </x:c>
      <x:c r="D60" s="22" t="str">
        <x:v>Rare</x:v>
      </x:c>
      <x:c r="E60" s="24" t="n">
        <x:v>6</x:v>
      </x:c>
      <x:c r="F60" s="20" t="str">
        <x:v>1</x:v>
      </x:c>
      <x:c r="G60" s="20" t="str">
        <x:v>Air &amp; ground</x:v>
      </x:c>
      <x:c r="H60" s="20" t="str">
        <x:v>Stationary / N/A</x:v>
      </x:c>
      <x:c r="I60" s="26" t="str">
        <x:v>N/A</x:v>
      </x:c>
      <x:c r="J60" s="20" t="str">
        <x:v>2.0 radius</x:v>
      </x:c>
      <x:c r="K60" s="20" t="str">
        <x:v>N/A</x:v>
      </x:c>
      <x:c r="L60" s="20" t="str">
        <x:v>Cast</x:v>
      </x:c>
      <x:c r="M60" s="20" t="str">
        <x:v>Traveling spell</x:v>
      </x:c>
      <x:c r="N60" s="20" t="str">
        <x:v>N/A</x:v>
      </x:c>
      <x:c r="O60" s="20"/>
      <x:c r="P60" s="20" t="str">
        <x:v>1,484 area / ~445 tower</x:v>
      </x:c>
      <x:c r="Q60" s="20" t="str">
        <x:v>See damage/effect note</x:v>
      </x:c>
      <x:c r="R60" s="20" t="str">
        <x:v>Rocket spell object</x:v>
      </x:c>
      <x:c r="S60" s="20" t="str">
        <x:v>350 spell</x:v>
      </x:c>
      <x:c r="T60" s="20" t="str">
        <x:v>N/A</x:v>
      </x:c>
      <x:c r="U60" s="20" t="str">
        <x:v>N/A</x:v>
      </x:c>
      <x:c r="V60" s="20" t="str">
        <x:v>N/A</x:v>
      </x:c>
      <x:c r="W60" s="20" t="str">
        <x:v>High-damage spell; slow travel; small radius.</x:v>
      </x:c>
      <x:c r="X60" s="28" t="str">
        <x:v>Level 11 public stats included where verified; hidden fields (mass/collision/sight/projectile/splash) cross-checked against AesDragon hidden-stat tables. N/A means not applicable.</x:v>
      </x:c>
      <x:c r="Y60" s="28" t="str">
        <x:v>https://www.deckshop.pro/card/stats
https://www.deckshop.pro/card/hitpoints
https://deckmelon.com/cards/rocket
https://clashroyale.fandom.com/wiki/Rocket</x:v>
      </x:c>
      <x:c r="Z60" s="28" t="str">
        <x:v>https://clashroyale.fandom.com/wiki/User_blog:AesDragon/Hidden_card_stats:_Mass
https://clashroyale.fandom.com/wiki/User_blog:AesDragon/Hidden_card_stats:_Collision_radius
https://clashroyale.fandom.com/wiki/User_blog:AesDragon/Hidden_card_stats:_Sight_range
https://clashroyale.fandom.com/wiki/User_blog:AesDragon/Hidden_card_stats:_Projectile_travel_speeds
https://clashroyale.fandom.com/wiki/User_blog:AesDragon/Hidden_card_stats:_Area_damage_radius</x:v>
      </x:c>
      <x:c r="AA60" s="28" t="str">
        <x:v>https://github.com/smlbiobot/cr-csv/blob/master/assets/csv_logic/characters.csv
https://github.com/smlbiobot/cr-csv/blob/master/assets/csv_logic/projectiles.csv</x:v>
      </x:c>
      <x:c r="AB60" s="28" t="str">
        <x:v>Current L11 from Deck Shop; tower value rounded/community/datamine-derived.</x:v>
      </x:c>
      <x:c r="AC60" t="str">
        <x:v>2.0</x:v>
      </x:c>
      <x:c r="AD60" t="str">
        <x:v>Spell AoE/effect radius</x:v>
      </x:c>
    </x:row>
    <x:row r="61" ht="36" customHeight="1">
      <x:c r="A61" s="24" t="n">
        <x:v>60</x:v>
      </x:c>
      <x:c r="B61" s="22" t="str">
        <x:v>Goblin Barrel</x:v>
      </x:c>
      <x:c r="C61" s="22" t="str">
        <x:v>Spell</x:v>
      </x:c>
      <x:c r="D61" s="22" t="str">
        <x:v>Epic</x:v>
      </x:c>
      <x:c r="E61" s="24" t="n">
        <x:v>3</x:v>
      </x:c>
      <x:c r="F61" s="20" t="str">
        <x:v>3 Goblins</x:v>
      </x:c>
      <x:c r="G61" s="20" t="str">
        <x:v>Buildings/ground after spawn</x:v>
      </x:c>
      <x:c r="H61" s="20" t="str">
        <x:v>Stationary / N/A</x:v>
      </x:c>
      <x:c r="I61" s="26" t="str">
        <x:v>N/A</x:v>
      </x:c>
      <x:c r="J61" s="20" t="str">
        <x:v>1.5 radius</x:v>
      </x:c>
      <x:c r="K61" s="20" t="str">
        <x:v>N/A</x:v>
      </x:c>
      <x:c r="L61" s="20" t="str">
        <x:v>Cast</x:v>
      </x:c>
      <x:c r="M61" s="20" t="str">
        <x:v>Traveling barrel</x:v>
      </x:c>
      <x:c r="N61" s="20" t="str">
        <x:v>N/A</x:v>
      </x:c>
      <x:c r="O61" s="20"/>
      <x:c r="P61" s="20" t="str">
        <x:v>Spawns 3 Goblins; no direct spell damage</x:v>
      </x:c>
      <x:c r="Q61" s="20" t="str">
        <x:v>See damage/effect note</x:v>
      </x:c>
      <x:c r="R61" s="20" t="str">
        <x:v>Goblin Barrel spell object</x:v>
      </x:c>
      <x:c r="S61" s="20" t="str">
        <x:v>400 spell</x:v>
      </x:c>
      <x:c r="T61" s="20" t="str">
        <x:v>N/A</x:v>
      </x:c>
      <x:c r="U61" s="20" t="str">
        <x:v>N/A</x:v>
      </x:c>
      <x:c r="V61" s="20" t="str">
        <x:v>N/A</x:v>
      </x:c>
      <x:c r="W61" s="20" t="str">
        <x:v>Projectile spell that spawns three Goblins anywhere.</x:v>
      </x:c>
      <x:c r="X61" s="28" t="str">
        <x:v>Level 11 public stats included where verified; hidden fields (mass/collision/sight/projectile/splash) cross-checked against AesDragon hidden-stat tables. N/A means not applicable.</x:v>
      </x:c>
      <x:c r="Y61" s="28" t="str">
        <x:v>https://www.deckshop.pro/card/stats
https://www.deckshop.pro/card/hitpoints
https://deckmelon.com/cards/goblin-barrel
https://clashroyale.fandom.com/wiki/Goblin_Barrel</x:v>
      </x:c>
      <x:c r="Z61" s="28" t="str">
        <x:v>https://clashroyale.fandom.com/wiki/User_blog:AesDragon/Hidden_card_stats:_Mass
https://clashroyale.fandom.com/wiki/User_blog:AesDragon/Hidden_card_stats:_Collision_radius
https://clashroyale.fandom.com/wiki/User_blog:AesDragon/Hidden_card_stats:_Sight_range
https://clashroyale.fandom.com/wiki/User_blog:AesDragon/Hidden_card_stats:_Projectile_travel_speeds
https://clashroyale.fandom.com/wiki/User_blog:AesDragon/Hidden_card_stats:_Area_damage_radius</x:v>
      </x:c>
      <x:c r="AA61" s="28" t="str">
        <x:v>https://github.com/smlbiobot/cr-csv/blob/master/assets/csv_logic/characters.csv
https://github.com/smlbiobot/cr-csv/blob/master/assets/csv_logic/projectiles.csv</x:v>
      </x:c>
      <x:c r="AB61" s="28" t="str">
        <x:v>Clarified: spell creates Goblins, not a damage splash.</x:v>
      </x:c>
      <x:c r="AC61" t="str">
        <x:v>1.5 deploy radius</x:v>
      </x:c>
      <x:c r="AD61" t="str">
        <x:v>Spawn radius; no spell damage</x:v>
      </x:c>
    </x:row>
    <x:row r="62" ht="36" customHeight="1">
      <x:c r="A62" s="24" t="n">
        <x:v>61</x:v>
      </x:c>
      <x:c r="B62" s="22" t="str">
        <x:v>Lightning</x:v>
      </x:c>
      <x:c r="C62" s="22" t="str">
        <x:v>Spell</x:v>
      </x:c>
      <x:c r="D62" s="22" t="str">
        <x:v>Epic</x:v>
      </x:c>
      <x:c r="E62" s="24" t="n">
        <x:v>6</x:v>
      </x:c>
      <x:c r="F62" s="20" t="str">
        <x:v>1</x:v>
      </x:c>
      <x:c r="G62" s="20" t="str">
        <x:v>Air &amp; ground; 3 highest HP targets</x:v>
      </x:c>
      <x:c r="H62" s="20" t="str">
        <x:v>Stationary / N/A</x:v>
      </x:c>
      <x:c r="I62" s="26" t="str">
        <x:v>N/A</x:v>
      </x:c>
      <x:c r="J62" s="20" t="str">
        <x:v>3.5 radius</x:v>
      </x:c>
      <x:c r="K62" s="20" t="str">
        <x:v>N/A</x:v>
      </x:c>
      <x:c r="L62" s="20" t="str">
        <x:v>Cast</x:v>
      </x:c>
      <x:c r="M62" s="20" t="str">
        <x:v>Instant-ish strike selector</x:v>
      </x:c>
      <x:c r="N62" s="20" t="str">
        <x:v>N/A</x:v>
      </x:c>
      <x:c r="O62" s="20"/>
      <x:c r="P62" s="20" t="str">
        <x:v>1,057 to up to 3 targets / ~317 tower</x:v>
      </x:c>
      <x:c r="Q62" s="20" t="str">
        <x:v>See damage/effect note</x:v>
      </x:c>
      <x:c r="R62" s="20" t="str">
        <x:v>Lightning spell object</x:v>
      </x:c>
      <x:c r="S62" s="20" t="str">
        <x:v>500 spell marker</x:v>
      </x:c>
      <x:c r="T62" s="20" t="str">
        <x:v>N/A</x:v>
      </x:c>
      <x:c r="U62" s="20" t="str">
        <x:v>N/A</x:v>
      </x:c>
      <x:c r="V62" s="20" t="str">
        <x:v>N/A</x:v>
      </x:c>
      <x:c r="W62" s="20" t="str">
        <x:v>Hits up to three highest-HP targets in radius; stun/reset.</x:v>
      </x:c>
      <x:c r="X62" s="28" t="str">
        <x:v>Level 11 public stats included where verified; hidden fields (mass/collision/sight/projectile/splash) cross-checked against AesDragon hidden-stat tables. N/A means not applicable.</x:v>
      </x:c>
      <x:c r="Y62" s="28" t="str">
        <x:v>https://www.deckshop.pro/card/stats
https://www.deckshop.pro/card/hitpoints
https://deckmelon.com/cards/lightning
https://clashroyale.fandom.com/wiki/Lightning</x:v>
      </x:c>
      <x:c r="Z62" s="28" t="str">
        <x:v>https://clashroyale.fandom.com/wiki/User_blog:AesDragon/Hidden_card_stats:_Mass
https://clashroyale.fandom.com/wiki/User_blog:AesDragon/Hidden_card_stats:_Collision_radius
https://clashroyale.fandom.com/wiki/User_blog:AesDragon/Hidden_card_stats:_Sight_range
https://clashroyale.fandom.com/wiki/User_blog:AesDragon/Hidden_card_stats:_Projectile_travel_speeds
https://clashroyale.fandom.com/wiki/User_blog:AesDragon/Hidden_card_stats:_Area_damage_radius</x:v>
      </x:c>
      <x:c r="AA62" s="28" t="str">
        <x:v>https://github.com/smlbiobot/cr-csv/blob/master/assets/csv_logic/characters.csv
https://github.com/smlbiobot/cr-csv/blob/master/assets/csv_logic/projectiles.csv</x:v>
      </x:c>
      <x:c r="AB62" s="28" t="str">
        <x:v>Current L11 community/datamine-derived overview.</x:v>
      </x:c>
      <x:c r="AC62" t="str">
        <x:v>3.5</x:v>
      </x:c>
      <x:c r="AD62" t="str">
        <x:v>Spell strike radius; hits up to 3 highest-HP targets</x:v>
      </x:c>
    </x:row>
    <x:row r="63" ht="36" customHeight="1">
      <x:c r="A63" s="24" t="n">
        <x:v>62</x:v>
      </x:c>
      <x:c r="B63" s="22" t="str">
        <x:v>Freeze</x:v>
      </x:c>
      <x:c r="C63" s="22" t="str">
        <x:v>Spell</x:v>
      </x:c>
      <x:c r="D63" s="22" t="str">
        <x:v>Epic</x:v>
      </x:c>
      <x:c r="E63" s="24" t="n">
        <x:v>4</x:v>
      </x:c>
      <x:c r="F63" s="20" t="str">
        <x:v>1</x:v>
      </x:c>
      <x:c r="G63" s="20" t="str">
        <x:v>Air &amp; ground; freezes/stuns targets</x:v>
      </x:c>
      <x:c r="H63" s="20" t="str">
        <x:v>Stationary / N/A</x:v>
      </x:c>
      <x:c r="I63" s="26" t="str">
        <x:v>N/A</x:v>
      </x:c>
      <x:c r="J63" s="20" t="str">
        <x:v>3.0 radius</x:v>
      </x:c>
      <x:c r="K63" s="20" t="str">
        <x:v>N/A</x:v>
      </x:c>
      <x:c r="L63" s="20" t="str">
        <x:v>Cast</x:v>
      </x:c>
      <x:c r="M63" s="20" t="str">
        <x:v>3.0s</x:v>
      </x:c>
      <x:c r="N63" s="20" t="str">
        <x:v>N/A</x:v>
      </x:c>
      <x:c r="O63" s="20"/>
      <x:c r="P63" s="20" t="str">
        <x:v>148 area + 3s freeze</x:v>
      </x:c>
      <x:c r="Q63" s="20" t="str">
        <x:v>See damage/effect note</x:v>
      </x:c>
      <x:c r="R63" s="20" t="str">
        <x:v>Freeze spell object</x:v>
      </x:c>
      <x:c r="S63" s="20" t="str">
        <x:v>instant/no projectile</x:v>
      </x:c>
      <x:c r="T63" s="20" t="str">
        <x:v>N/A</x:v>
      </x:c>
      <x:c r="U63" s="20" t="str">
        <x:v>N/A</x:v>
      </x:c>
      <x:c r="V63" s="20" t="str">
        <x:v>N/A</x:v>
      </x:c>
      <x:c r="W63" s="20" t="str">
        <x:v>Freezes/stuns and deals small damage.</x:v>
      </x:c>
      <x:c r="X63" s="28" t="str">
        <x:v>Level 11 public stats included where verified; hidden fields (mass/collision/sight/projectile/splash) cross-checked against AesDragon hidden-stat tables. N/A means not applicable.</x:v>
      </x:c>
      <x:c r="Y63" s="28" t="str">
        <x:v>https://www.deckshop.pro/card/stats
https://www.deckshop.pro/card/hitpoints
https://deckmelon.com/cards/freeze
https://clashroyale.fandom.com/wiki/Freeze</x:v>
      </x:c>
      <x:c r="Z63" s="28" t="str">
        <x:v>https://clashroyale.fandom.com/wiki/User_blog:AesDragon/Hidden_card_stats:_Mass
https://clashroyale.fandom.com/wiki/User_blog:AesDragon/Hidden_card_stats:_Collision_radius
https://clashroyale.fandom.com/wiki/User_blog:AesDragon/Hidden_card_stats:_Sight_range
https://clashroyale.fandom.com/wiki/User_blog:AesDragon/Hidden_card_stats:_Projectile_travel_speeds
https://clashroyale.fandom.com/wiki/User_blog:AesDragon/Hidden_card_stats:_Area_damage_radius</x:v>
      </x:c>
      <x:c r="AA63" s="28" t="str">
        <x:v>https://github.com/smlbiobot/cr-csv/blob/master/assets/csv_logic/characters.csv
https://github.com/smlbiobot/cr-csv/blob/master/assets/csv_logic/projectiles.csv</x:v>
      </x:c>
      <x:c r="AB63" s="28" t="str">
        <x:v>Current L11 from Deck Shop/stats.</x:v>
      </x:c>
      <x:c r="AC63" t="str">
        <x:v>3.0</x:v>
      </x:c>
      <x:c r="AD63" t="str">
        <x:v>Spell AoE/effect radius</x:v>
      </x:c>
    </x:row>
    <x:row r="64" ht="36" customHeight="1">
      <x:c r="A64" s="24" t="n">
        <x:v>63</x:v>
      </x:c>
      <x:c r="B64" s="22" t="str">
        <x:v>Poison</x:v>
      </x:c>
      <x:c r="C64" s="22" t="str">
        <x:v>Spell</x:v>
      </x:c>
      <x:c r="D64" s="22" t="str">
        <x:v>Epic</x:v>
      </x:c>
      <x:c r="E64" s="24" t="n">
        <x:v>4</x:v>
      </x:c>
      <x:c r="F64" s="20" t="str">
        <x:v>1</x:v>
      </x:c>
      <x:c r="G64" s="20" t="str">
        <x:v>Air &amp; ground over time</x:v>
      </x:c>
      <x:c r="H64" s="20" t="str">
        <x:v>Stationary / N/A</x:v>
      </x:c>
      <x:c r="I64" s="26" t="str">
        <x:v>N/A</x:v>
      </x:c>
      <x:c r="J64" s="20" t="str">
        <x:v>3.5 radius</x:v>
      </x:c>
      <x:c r="K64" s="20" t="str">
        <x:v>N/A</x:v>
      </x:c>
      <x:c r="L64" s="20" t="str">
        <x:v>Cast</x:v>
      </x:c>
      <x:c r="M64" s="20" t="str">
        <x:v>8.0s</x:v>
      </x:c>
      <x:c r="N64" s="20" t="str">
        <x:v>N/A</x:v>
      </x:c>
      <x:c r="O64" s="20"/>
      <x:c r="P64" s="20" t="str">
        <x:v>736 total over 8s / ~222 tower</x:v>
      </x:c>
      <x:c r="Q64" s="20" t="str">
        <x:v>See damage/effect note</x:v>
      </x:c>
      <x:c r="R64" s="20" t="str">
        <x:v>Poison spell object</x:v>
      </x:c>
      <x:c r="S64" s="20" t="str">
        <x:v>area-over-time/no projectile</x:v>
      </x:c>
      <x:c r="T64" s="20" t="str">
        <x:v>N/A</x:v>
      </x:c>
      <x:c r="U64" s="20" t="str">
        <x:v>N/A</x:v>
      </x:c>
      <x:c r="V64" s="20" t="str">
        <x:v>N/A</x:v>
      </x:c>
      <x:c r="W64" s="20" t="str">
        <x:v>Area denial damage over time; slows troop/building attacks and movement? (current slow behavior community/datamine-derived).</x:v>
      </x:c>
      <x:c r="X64" s="28" t="str">
        <x:v>Level 11 public stats included where verified; hidden fields (mass/collision/sight/projectile/splash) cross-checked against AesDragon hidden-stat tables. N/A means not applicable.</x:v>
      </x:c>
      <x:c r="Y64" s="28" t="str">
        <x:v>https://www.deckshop.pro/card/stats
https://www.deckshop.pro/card/hitpoints
https://deckmelon.com/cards/poison
https://clashroyale.fandom.com/wiki/Poison</x:v>
      </x:c>
      <x:c r="Z64" s="28" t="str">
        <x:v>https://clashroyale.fandom.com/wiki/User_blog:AesDragon/Hidden_card_stats:_Mass
https://clashroyale.fandom.com/wiki/User_blog:AesDragon/Hidden_card_stats:_Collision_radius
https://clashroyale.fandom.com/wiki/User_blog:AesDragon/Hidden_card_stats:_Sight_range
https://clashroyale.fandom.com/wiki/User_blog:AesDragon/Hidden_card_stats:_Projectile_travel_speeds
https://clashroyale.fandom.com/wiki/User_blog:AesDragon/Hidden_card_stats:_Area_damage_radius</x:v>
      </x:c>
      <x:c r="AA64" s="28" t="str">
        <x:v>https://github.com/smlbiobot/cr-csv/blob/master/assets/csv_logic/characters.csv
https://github.com/smlbiobot/cr-csv/blob/master/assets/csv_logic/projectiles.csv</x:v>
      </x:c>
      <x:c r="AB64" s="28" t="str">
        <x:v>Current L11 community/datamine-derived overview.</x:v>
      </x:c>
      <x:c r="AC64" t="str">
        <x:v>3.5</x:v>
      </x:c>
      <x:c r="AD64" t="str">
        <x:v>Spell AoE/effect radius over duration</x:v>
      </x:c>
    </x:row>
    <x:row r="65" ht="36" customHeight="1">
      <x:c r="A65" s="24" t="n">
        <x:v>64</x:v>
      </x:c>
      <x:c r="B65" s="22" t="str">
        <x:v>Rage</x:v>
      </x:c>
      <x:c r="C65" s="22" t="str">
        <x:v>Spell</x:v>
      </x:c>
      <x:c r="D65" s="22" t="str">
        <x:v>Epic</x:v>
      </x:c>
      <x:c r="E65" s="24" t="n">
        <x:v>2</x:v>
      </x:c>
      <x:c r="F65" s="20" t="str">
        <x:v>1</x:v>
      </x:c>
      <x:c r="G65" s="20" t="str">
        <x:v>Friendly units/buildings buff; also damages enemies</x:v>
      </x:c>
      <x:c r="H65" s="20" t="str">
        <x:v>Stationary / N/A</x:v>
      </x:c>
      <x:c r="I65" s="26" t="str">
        <x:v>N/A</x:v>
      </x:c>
      <x:c r="J65" s="20" t="str">
        <x:v>3.0 radius</x:v>
      </x:c>
      <x:c r="K65" s="20" t="str">
        <x:v>N/A</x:v>
      </x:c>
      <x:c r="L65" s="20" t="str">
        <x:v>Cast</x:v>
      </x:c>
      <x:c r="M65" s="20" t="str">
        <x:v>4.5s</x:v>
      </x:c>
      <x:c r="N65" s="20" t="str">
        <x:v>N/A</x:v>
      </x:c>
      <x:c r="O65" s="20"/>
      <x:c r="P65" s="20" t="str">
        <x:v>192 area + 4.5s Rage</x:v>
      </x:c>
      <x:c r="Q65" s="20" t="str">
        <x:v>See damage/effect note</x:v>
      </x:c>
      <x:c r="R65" s="20" t="str">
        <x:v>Rage spell object</x:v>
      </x:c>
      <x:c r="S65" s="20" t="str">
        <x:v>instant/no projectile</x:v>
      </x:c>
      <x:c r="T65" s="20" t="str">
        <x:v>N/A</x:v>
      </x:c>
      <x:c r="U65" s="20" t="str">
        <x:v>N/A</x:v>
      </x:c>
      <x:c r="V65" s="20" t="str">
        <x:v>N/A</x:v>
      </x:c>
      <x:c r="W65" s="20" t="str">
        <x:v>Buffs friendly movement/attack speed and damages enemies in radius.</x:v>
      </x:c>
      <x:c r="X65" s="28" t="str">
        <x:v>Level 11 public stats included where verified; hidden fields (mass/collision/sight/projectile/splash) cross-checked against AesDragon hidden-stat tables. N/A means not applicable.</x:v>
      </x:c>
      <x:c r="Y65" s="28" t="str">
        <x:v>https://www.deckshop.pro/card/stats
https://www.deckshop.pro/card/hitpoints
https://deckmelon.com/cards/rage
https://clashroyale.fandom.com/wiki/Rage</x:v>
      </x:c>
      <x:c r="Z65" s="28" t="str">
        <x:v>https://clashroyale.fandom.com/wiki/User_blog:AesDragon/Hidden_card_stats:_Mass
https://clashroyale.fandom.com/wiki/User_blog:AesDragon/Hidden_card_stats:_Collision_radius
https://clashroyale.fandom.com/wiki/User_blog:AesDragon/Hidden_card_stats:_Sight_range
https://clashroyale.fandom.com/wiki/User_blog:AesDragon/Hidden_card_stats:_Projectile_travel_speeds
https://clashroyale.fandom.com/wiki/User_blog:AesDragon/Hidden_card_stats:_Area_damage_radius</x:v>
      </x:c>
      <x:c r="AA65" s="28" t="str">
        <x:v>https://github.com/smlbiobot/cr-csv/blob/master/assets/csv_logic/characters.csv
https://github.com/smlbiobot/cr-csv/blob/master/assets/csv_logic/projectiles.csv</x:v>
      </x:c>
      <x:c r="AB65" s="28" t="str">
        <x:v>Current L11 from Deck Shop/stats.</x:v>
      </x:c>
      <x:c r="AC65" t="str">
        <x:v>3.0</x:v>
      </x:c>
      <x:c r="AD65" t="str">
        <x:v>Spell AoE/effect radius</x:v>
      </x:c>
    </x:row>
    <x:row r="66" ht="36" customHeight="1">
      <x:c r="A66" s="24" t="n">
        <x:v>65</x:v>
      </x:c>
      <x:c r="B66" s="22" t="str">
        <x:v>Clone</x:v>
      </x:c>
      <x:c r="C66" s="22" t="str">
        <x:v>Spell</x:v>
      </x:c>
      <x:c r="D66" s="22" t="str">
        <x:v>Epic</x:v>
      </x:c>
      <x:c r="E66" s="24" t="n">
        <x:v>3</x:v>
      </x:c>
      <x:c r="F66" s="20" t="str">
        <x:v>1</x:v>
      </x:c>
      <x:c r="G66" s="20" t="str">
        <x:v>Friendly units only</x:v>
      </x:c>
      <x:c r="H66" s="20" t="str">
        <x:v>Stationary / N/A</x:v>
      </x:c>
      <x:c r="I66" s="26" t="str">
        <x:v>N/A</x:v>
      </x:c>
      <x:c r="J66" s="20" t="str">
        <x:v>3.0 radius</x:v>
      </x:c>
      <x:c r="K66" s="20" t="str">
        <x:v>N/A</x:v>
      </x:c>
      <x:c r="L66" s="20" t="str">
        <x:v>Cast</x:v>
      </x:c>
      <x:c r="M66" s="20" t="str">
        <x:v>Instant field</x:v>
      </x:c>
      <x:c r="N66" s="20" t="str">
        <x:v>N/A</x:v>
      </x:c>
      <x:c r="O66" s="20"/>
      <x:c r="P66" s="20" t="str">
        <x:v>Copies friendly units with 1 HP</x:v>
      </x:c>
      <x:c r="Q66" s="20" t="str">
        <x:v>See damage/effect note</x:v>
      </x:c>
      <x:c r="R66" s="20" t="str">
        <x:v>Clone spell object</x:v>
      </x:c>
      <x:c r="S66" s="20" t="str">
        <x:v>instant/no projectile</x:v>
      </x:c>
      <x:c r="T66" s="20" t="str">
        <x:v>N/A</x:v>
      </x:c>
      <x:c r="U66" s="20" t="str">
        <x:v>N/A</x:v>
      </x:c>
      <x:c r="V66" s="20" t="str">
        <x:v>N/A</x:v>
      </x:c>
      <x:c r="W66" s="20" t="str">
        <x:v>Creates fragile 1-HP copies of friendly troops.</x:v>
      </x:c>
      <x:c r="X66" s="28" t="str">
        <x:v>Level 11 public stats included where verified; hidden fields (mass/collision/sight/projectile/splash) cross-checked against AesDragon hidden-stat tables. N/A means not applicable.</x:v>
      </x:c>
      <x:c r="Y66" s="28" t="str">
        <x:v>https://www.deckshop.pro/card/stats
https://www.deckshop.pro/card/hitpoints
https://deckmelon.com/cards/clone
https://clashroyale.fandom.com/wiki/Clone</x:v>
      </x:c>
      <x:c r="Z66" s="28" t="str">
        <x:v>https://clashroyale.fandom.com/wiki/User_blog:AesDragon/Hidden_card_stats:_Mass
https://clashroyale.fandom.com/wiki/User_blog:AesDragon/Hidden_card_stats:_Collision_radius
https://clashroyale.fandom.com/wiki/User_blog:AesDragon/Hidden_card_stats:_Sight_range
https://clashroyale.fandom.com/wiki/User_blog:AesDragon/Hidden_card_stats:_Projectile_travel_speeds
https://clashroyale.fandom.com/wiki/User_blog:AesDragon/Hidden_card_stats:_Area_damage_radius</x:v>
      </x:c>
      <x:c r="AA66" s="28" t="str">
        <x:v>https://github.com/smlbiobot/cr-csv/blob/master/assets/csv_logic/characters.csv
https://github.com/smlbiobot/cr-csv/blob/master/assets/csv_logic/projectiles.csv</x:v>
      </x:c>
      <x:c r="AB66" s="28" t="str">
        <x:v>No direct damage.</x:v>
      </x:c>
      <x:c r="AC66" t="str">
        <x:v>3.0</x:v>
      </x:c>
      <x:c r="AD66" t="str">
        <x:v>Spell clone radius</x:v>
      </x:c>
    </x:row>
    <x:row r="67" ht="36" customHeight="1">
      <x:c r="A67" s="24" t="n">
        <x:v>66</x:v>
      </x:c>
      <x:c r="B67" s="22" t="str">
        <x:v>Tornado</x:v>
      </x:c>
      <x:c r="C67" s="22" t="str">
        <x:v>Spell</x:v>
      </x:c>
      <x:c r="D67" s="22" t="str">
        <x:v>Epic</x:v>
      </x:c>
      <x:c r="E67" s="24" t="n">
        <x:v>3</x:v>
      </x:c>
      <x:c r="F67" s="20" t="str">
        <x:v>1</x:v>
      </x:c>
      <x:c r="G67" s="20" t="str">
        <x:v>Air &amp; ground; pulls enemies</x:v>
      </x:c>
      <x:c r="H67" s="20" t="str">
        <x:v>Stationary / N/A</x:v>
      </x:c>
      <x:c r="I67" s="26" t="str">
        <x:v>N/A</x:v>
      </x:c>
      <x:c r="J67" s="20" t="str">
        <x:v>5.5 radius</x:v>
      </x:c>
      <x:c r="K67" s="20" t="str">
        <x:v>N/A</x:v>
      </x:c>
      <x:c r="L67" s="20" t="str">
        <x:v>Cast</x:v>
      </x:c>
      <x:c r="M67" s="20" t="str">
        <x:v>1.1s</x:v>
      </x:c>
      <x:c r="N67" s="20" t="str">
        <x:v>N/A</x:v>
      </x:c>
      <x:c r="O67" s="20"/>
      <x:c r="P67" s="20" t="str">
        <x:v>84 total / 26 tower + 1.1s pull</x:v>
      </x:c>
      <x:c r="Q67" s="20" t="str">
        <x:v>See damage/effect note</x:v>
      </x:c>
      <x:c r="R67" s="20" t="str">
        <x:v>Tornado spell object</x:v>
      </x:c>
      <x:c r="S67" s="20" t="str">
        <x:v>pull field/no projectile</x:v>
      </x:c>
      <x:c r="T67" s="20" t="str">
        <x:v>N/A</x:v>
      </x:c>
      <x:c r="U67" s="20" t="str">
        <x:v>N/A</x:v>
      </x:c>
      <x:c r="V67" s="20" t="str">
        <x:v>N/A</x:v>
      </x:c>
      <x:c r="W67" s="20" t="str">
        <x:v>Pulls enemy troops; activates King Tower setups.</x:v>
      </x:c>
      <x:c r="X67" s="28" t="str">
        <x:v>Level 11 public stats included where verified; hidden fields (mass/collision/sight/projectile/splash) cross-checked against AesDragon hidden-stat tables. N/A means not applicable.</x:v>
      </x:c>
      <x:c r="Y67" s="28" t="str">
        <x:v>https://www.deckshop.pro/card/stats
https://www.deckshop.pro/card/hitpoints
https://deckmelon.com/cards/tornado
https://clashroyale.fandom.com/wiki/Tornado</x:v>
      </x:c>
      <x:c r="Z67" s="28" t="str">
        <x:v>https://clashroyale.fandom.com/wiki/User_blog:AesDragon/Hidden_card_stats:_Mass
https://clashroyale.fandom.com/wiki/User_blog:AesDragon/Hidden_card_stats:_Collision_radius
https://clashroyale.fandom.com/wiki/User_blog:AesDragon/Hidden_card_stats:_Sight_range
https://clashroyale.fandom.com/wiki/User_blog:AesDragon/Hidden_card_stats:_Projectile_travel_speeds
https://clashroyale.fandom.com/wiki/User_blog:AesDragon/Hidden_card_stats:_Area_damage_radius</x:v>
      </x:c>
      <x:c r="AA67" s="28" t="str">
        <x:v>https://github.com/smlbiobot/cr-csv/blob/master/assets/csv_logic/characters.csv
https://github.com/smlbiobot/cr-csv/blob/master/assets/csv_logic/projectiles.csv</x:v>
      </x:c>
      <x:c r="AB67" s="28" t="str">
        <x:v>Current L11 from Deck Shop/stats.</x:v>
      </x:c>
      <x:c r="AC67" t="str">
        <x:v>5.5</x:v>
      </x:c>
      <x:c r="AD67" t="str">
        <x:v>Pull/damage radius</x:v>
      </x:c>
    </x:row>
    <x:row r="68" ht="36" customHeight="1">
      <x:c r="A68" s="24" t="n">
        <x:v>67</x:v>
      </x:c>
      <x:c r="B68" s="22" t="str">
        <x:v>Mirror</x:v>
      </x:c>
      <x:c r="C68" s="22" t="str">
        <x:v>Spell</x:v>
      </x:c>
      <x:c r="D68" s="22" t="str">
        <x:v>Epic</x:v>
      </x:c>
      <x:c r="E68" s="24" t="n">
        <x:v>1</x:v>
      </x:c>
      <x:c r="F68" s="20" t="str">
        <x:v>1</x:v>
      </x:c>
      <x:c r="G68" s="20" t="str">
        <x:v>Repeats previous card</x:v>
      </x:c>
      <x:c r="H68" s="20" t="str">
        <x:v>Stationary / N/A</x:v>
      </x:c>
      <x:c r="I68" s="26" t="str">
        <x:v>N/A</x:v>
      </x:c>
      <x:c r="J68" s="20" t="str">
        <x:v>N/A</x:v>
      </x:c>
      <x:c r="K68" s="20" t="str">
        <x:v>N/A</x:v>
      </x:c>
      <x:c r="L68" s="20" t="str">
        <x:v>Cast</x:v>
      </x:c>
      <x:c r="M68" s="20" t="str">
        <x:v>N/A</x:v>
      </x:c>
      <x:c r="N68" s="20" t="str">
        <x:v>N/A</x:v>
      </x:c>
      <x:c r="O68" s="20"/>
      <x:c r="P68" s="20" t="str">
        <x:v>Mirrors previous card at +1 level; no direct damage/effect</x:v>
      </x:c>
      <x:c r="Q68" s="20" t="str">
        <x:v>See damage/effect note</x:v>
      </x:c>
      <x:c r="R68" s="20" t="str">
        <x:v>Mirror spell object</x:v>
      </x:c>
      <x:c r="S68" s="20" t="str">
        <x:v>no projectile</x:v>
      </x:c>
      <x:c r="T68" s="20" t="str">
        <x:v>N/A</x:v>
      </x:c>
      <x:c r="U68" s="20" t="str">
        <x:v>N/A</x:v>
      </x:c>
      <x:c r="V68" s="20" t="str">
        <x:v>N/A</x:v>
      </x:c>
      <x:c r="W68" s="20" t="str">
        <x:v>Repeats the last played card with modified elixir/level behavior.</x:v>
      </x:c>
      <x:c r="X68" s="28" t="str">
        <x:v>Level 11 public stats included where verified; hidden fields (mass/collision/sight/projectile/splash) cross-checked against AesDragon hidden-stat tables. N/A means not applicable.</x:v>
      </x:c>
      <x:c r="Y68" s="28" t="str">
        <x:v>https://www.deckshop.pro/card/stats
https://www.deckshop.pro/card/hitpoints
https://deckmelon.com/cards/mirror
https://clashroyale.fandom.com/wiki/Mirror</x:v>
      </x:c>
      <x:c r="Z68" s="28" t="str">
        <x:v>https://clashroyale.fandom.com/wiki/User_blog:AesDragon/Hidden_card_stats:_Mass
https://clashroyale.fandom.com/wiki/User_blog:AesDragon/Hidden_card_stats:_Collision_radius
https://clashroyale.fandom.com/wiki/User_blog:AesDragon/Hidden_card_stats:_Sight_range
https://clashroyale.fandom.com/wiki/User_blog:AesDragon/Hidden_card_stats:_Projectile_travel_speeds
https://clashroyale.fandom.com/wiki/User_blog:AesDragon/Hidden_card_stats:_Area_damage_radius</x:v>
      </x:c>
      <x:c r="AA68" s="28" t="str">
        <x:v>https://github.com/smlbiobot/cr-csv/blob/master/assets/csv_logic/characters.csv
https://github.com/smlbiobot/cr-csv/blob/master/assets/csv_logic/projectiles.csv</x:v>
      </x:c>
      <x:c r="AB68" s="28" t="str">
        <x:v>Clarified non-damaging mirror effect; no range/splash.</x:v>
      </x:c>
      <x:c r="AC68" t="str">
        <x:v>N/A</x:v>
      </x:c>
      <x:c r="AD68" t="str">
        <x:v>No AoE; repeats previous card</x:v>
      </x:c>
    </x:row>
    <x:row r="69" ht="36" customHeight="1">
      <x:c r="A69" s="24" t="n">
        <x:v>68</x:v>
      </x:c>
      <x:c r="B69" s="22" t="str">
        <x:v>The Log</x:v>
      </x:c>
      <x:c r="C69" s="22" t="str">
        <x:v>Spell</x:v>
      </x:c>
      <x:c r="D69" s="22" t="str">
        <x:v>Legendary</x:v>
      </x:c>
      <x:c r="E69" s="24" t="n">
        <x:v>2</x:v>
      </x:c>
      <x:c r="F69" s="20" t="str">
        <x:v>1</x:v>
      </x:c>
      <x:c r="G69" s="20" t="str">
        <x:v>Ground only</x:v>
      </x:c>
      <x:c r="H69" s="20" t="str">
        <x:v>Stationary / N/A</x:v>
      </x:c>
      <x:c r="I69" s="26" t="str">
        <x:v>N/A</x:v>
      </x:c>
      <x:c r="J69" s="20" t="str">
        <x:v>10.1</x:v>
      </x:c>
      <x:c r="K69" s="20" t="str">
        <x:v>N/A</x:v>
      </x:c>
      <x:c r="L69" s="20" t="str">
        <x:v>Cast</x:v>
      </x:c>
      <x:c r="M69" s="20" t="str">
        <x:v>Rolling spell</x:v>
      </x:c>
      <x:c r="N69" s="20" t="str">
        <x:v>N/A</x:v>
      </x:c>
      <x:c r="O69" s="20"/>
      <x:c r="P69" s="20" t="str">
        <x:v>268 ground / 81 tower</x:v>
      </x:c>
      <x:c r="Q69" s="20" t="str">
        <x:v>See damage/effect note</x:v>
      </x:c>
      <x:c r="R69" s="20" t="str">
        <x:v>The Log spell object</x:v>
      </x:c>
      <x:c r="S69" s="20" t="str">
        <x:v>200 rolling spell</x:v>
      </x:c>
      <x:c r="T69" s="20" t="str">
        <x:v>N/A</x:v>
      </x:c>
      <x:c r="U69" s="20" t="str">
        <x:v>N/A</x:v>
      </x:c>
      <x:c r="V69" s="20" t="str">
        <x:v>N/A</x:v>
      </x:c>
      <x:c r="W69" s="20" t="str">
        <x:v>Ground-only rolling spell with knockback.</x:v>
      </x:c>
      <x:c r="X69" s="28" t="str">
        <x:v>Level 11 public stats included where verified; hidden fields (mass/collision/sight/projectile/splash) cross-checked against AesDragon hidden-stat tables. N/A means not applicable.</x:v>
      </x:c>
      <x:c r="Y69" s="28" t="str">
        <x:v>https://www.deckshop.pro/card/stats
https://www.deckshop.pro/card/hitpoints
https://deckmelon.com/cards/the-log
https://clashroyale.fandom.com/wiki/The_Log</x:v>
      </x:c>
      <x:c r="Z69" s="28" t="str">
        <x:v>https://clashroyale.fandom.com/wiki/User_blog:AesDragon/Hidden_card_stats:_Mass
https://clashroyale.fandom.com/wiki/User_blog:AesDragon/Hidden_card_stats:_Collision_radius
https://clashroyale.fandom.com/wiki/User_blog:AesDragon/Hidden_card_stats:_Sight_range
https://clashroyale.fandom.com/wiki/User_blog:AesDragon/Hidden_card_stats:_Projectile_travel_speeds
https://clashroyale.fandom.com/wiki/User_blog:AesDragon/Hidden_card_stats:_Area_damage_radius</x:v>
      </x:c>
      <x:c r="AA69" s="28" t="str">
        <x:v>https://github.com/smlbiobot/cr-csv/blob/master/assets/csv_logic/characters.csv
https://github.com/smlbiobot/cr-csv/blob/master/assets/csv_logic/projectiles.csv</x:v>
      </x:c>
      <x:c r="AB69" s="28" t="str">
        <x:v>Current L11 from Deck Shop/stats.</x:v>
      </x:c>
      <x:c r="AC69" t="str">
        <x:v>10.1 path length</x:v>
      </x:c>
      <x:c r="AD69" t="str">
        <x:v>Linear rolling AoE/path, not circular radius</x:v>
      </x:c>
    </x:row>
    <x:row r="70" ht="36" customHeight="1">
      <x:c r="A70" s="24" t="n">
        <x:v>69</x:v>
      </x:c>
      <x:c r="B70" s="22" t="str">
        <x:v>Graveyard</x:v>
      </x:c>
      <x:c r="C70" s="22" t="str">
        <x:v>Spell</x:v>
      </x:c>
      <x:c r="D70" s="22" t="str">
        <x:v>Legendary</x:v>
      </x:c>
      <x:c r="E70" s="24" t="n">
        <x:v>5</x:v>
      </x:c>
      <x:c r="F70" s="20" t="str">
        <x:v>Skeletons over 9s</x:v>
      </x:c>
      <x:c r="G70" s="20" t="str">
        <x:v>Ground Skeleton spawns</x:v>
      </x:c>
      <x:c r="H70" s="20" t="str">
        <x:v>Stationary / N/A</x:v>
      </x:c>
      <x:c r="I70" s="26" t="str">
        <x:v>N/A</x:v>
      </x:c>
      <x:c r="J70" s="20" t="str">
        <x:v>4.0 radius</x:v>
      </x:c>
      <x:c r="K70" s="20" t="str">
        <x:v>N/A</x:v>
      </x:c>
      <x:c r="L70" s="20" t="str">
        <x:v>Cast</x:v>
      </x:c>
      <x:c r="M70" s="20" t="str">
        <x:v>9.0s</x:v>
      </x:c>
      <x:c r="N70" s="20" t="str">
        <x:v>N/A</x:v>
      </x:c>
      <x:c r="O70" s="20"/>
      <x:c r="P70" s="20" t="str">
        <x:v>Skeleton spawns over 9s</x:v>
      </x:c>
      <x:c r="Q70" s="20" t="str">
        <x:v>See damage/effect note</x:v>
      </x:c>
      <x:c r="R70" s="20" t="str">
        <x:v>Graveyard spell object</x:v>
      </x:c>
      <x:c r="S70" s="20" t="str">
        <x:v>spawn field/no projectile</x:v>
      </x:c>
      <x:c r="T70" s="20" t="str">
        <x:v>N/A</x:v>
      </x:c>
      <x:c r="U70" s="20" t="str">
        <x:v>N/A</x:v>
      </x:c>
      <x:c r="V70" s="20" t="str">
        <x:v>N/A</x:v>
      </x:c>
      <x:c r="W70" s="20" t="str">
        <x:v>Randomly spawns Skeletons in a target radius over time.</x:v>
      </x:c>
      <x:c r="X70" s="28" t="str">
        <x:v>Level 11 public stats included where verified; hidden fields (mass/collision/sight/projectile/splash) cross-checked against AesDragon hidden-stat tables. N/A means not applicable.</x:v>
      </x:c>
      <x:c r="Y70" s="28" t="str">
        <x:v>https://www.deckshop.pro/card/stats
https://www.deckshop.pro/card/hitpoints
https://deckmelon.com/cards/graveyard
https://clashroyale.fandom.com/wiki/Graveyard</x:v>
      </x:c>
      <x:c r="Z70" s="28" t="str">
        <x:v>https://clashroyale.fandom.com/wiki/User_blog:AesDragon/Hidden_card_stats:_Mass
https://clashroyale.fandom.com/wiki/User_blog:AesDragon/Hidden_card_stats:_Collision_radius
https://clashroyale.fandom.com/wiki/User_blog:AesDragon/Hidden_card_stats:_Sight_range
https://clashroyale.fandom.com/wiki/User_blog:AesDragon/Hidden_card_stats:_Projectile_travel_speeds
https://clashroyale.fandom.com/wiki/User_blog:AesDragon/Hidden_card_stats:_Area_damage_radius</x:v>
      </x:c>
      <x:c r="AA70" s="28" t="str">
        <x:v>https://github.com/smlbiobot/cr-csv/blob/master/assets/csv_logic/characters.csv
https://github.com/smlbiobot/cr-csv/blob/master/assets/csv_logic/projectiles.csv</x:v>
      </x:c>
      <x:c r="AB70" s="28" t="str">
        <x:v>Damage depends on surviving Skeletons.</x:v>
      </x:c>
      <x:c r="AC70" t="str">
        <x:v>4.0</x:v>
      </x:c>
      <x:c r="AD70" t="str">
        <x:v>Skeleton spawn radius</x:v>
      </x:c>
    </x:row>
    <x:row r="71" ht="36" customHeight="1">
      <x:c r="A71" s="24" t="n">
        <x:v>70</x:v>
      </x:c>
      <x:c r="B71" s="22" t="str">
        <x:v>Cannon</x:v>
      </x:c>
      <x:c r="C71" s="22" t="str">
        <x:v>Building</x:v>
      </x:c>
      <x:c r="D71" s="22" t="str">
        <x:v>Common</x:v>
      </x:c>
      <x:c r="E71" s="24" t="n">
        <x:v>3</x:v>
      </x:c>
      <x:c r="F71" s="20" t="str">
        <x:v>1</x:v>
      </x:c>
      <x:c r="G71" s="20" t="str">
        <x:v>Ground</x:v>
      </x:c>
      <x:c r="H71" s="20" t="str">
        <x:v>Stationary / N/A</x:v>
      </x:c>
      <x:c r="I71" s="26" t="str">
        <x:v>N/A</x:v>
      </x:c>
      <x:c r="J71" s="20" t="str">
        <x:v>5.5</x:v>
      </x:c>
      <x:c r="K71" s="20" t="n">
        <x:v>1</x:v>
      </x:c>
      <x:c r="L71" s="20" t="str">
        <x:v>1.0</x:v>
      </x:c>
      <x:c r="M71" s="20" t="str">
        <x:v>30s</x:v>
      </x:c>
      <x:c r="N71" s="20" t="str">
        <x:v>824</x:v>
      </x:c>
      <x:c r="O71" s="20"/>
      <x:c r="P71" s="20" t="str">
        <x:v>212</x:v>
      </x:c>
      <x:c r="Q71" s="20" t="str">
        <x:v>See damage/effect note</x:v>
      </x:c>
      <x:c r="R71" s="20" t="str">
        <x:v>Cannon attack object</x:v>
      </x:c>
      <x:c r="S71" s="20" t="str">
        <x:v>1000 attack</x:v>
      </x:c>
      <x:c r="T71" s="20" t="str">
        <x:v>N/A</x:v>
      </x:c>
      <x:c r="U71" s="20" t="n">
        <x:v>0.6</x:v>
      </x:c>
      <x:c r="V71" s="20" t="n">
        <x:v>5.5</x:v>
      </x:c>
      <x:c r="W71" s="20" t="str">
        <x:v>Cheap ground-only defensive building.</x:v>
      </x:c>
      <x:c r="X71" s="28" t="str">
        <x:v>Level 11 public stats included where verified; hidden fields (mass/collision/sight/projectile/splash) cross-checked against AesDragon hidden-stat tables. N/A means not applicable.</x:v>
      </x:c>
      <x:c r="Y71" s="28" t="str">
        <x:v>https://www.deckshop.pro/card/stats
https://www.deckshop.pro/card/hitpoints
https://deckmelon.com/cards/cannon
https://clashroyale.fandom.com/wiki/Cannon</x:v>
      </x:c>
      <x:c r="Z71" s="28" t="str">
        <x:v>https://clashroyale.fandom.com/wiki/User_blog:AesDragon/Hidden_card_stats:_Mass
https://clashroyale.fandom.com/wiki/User_blog:AesDragon/Hidden_card_stats:_Collision_radius
https://clashroyale.fandom.com/wiki/User_blog:AesDragon/Hidden_card_stats:_Sight_range
https://clashroyale.fandom.com/wiki/User_blog:AesDragon/Hidden_card_stats:_Projectile_travel_speeds
https://clashroyale.fandom.com/wiki/User_blog:AesDragon/Hidden_card_stats:_Area_damage_radius</x:v>
      </x:c>
      <x:c r="AA71" s="28" t="str">
        <x:v>https://github.com/smlbiobot/cr-csv/blob/master/assets/csv_logic/characters.csv
https://github.com/smlbiobot/cr-csv/blob/master/assets/csv_logic/projectiles.csv</x:v>
      </x:c>
      <x:c r="AB71" s="28" t="str">
        <x:v>Current L11 from Deckmelon.</x:v>
      </x:c>
      <x:c r="AC71" t="str">
        <x:v>N/A</x:v>
      </x:c>
      <x:c r="AD71" t="str">
        <x:v>Single-target / no splash or AoE</x:v>
      </x:c>
    </x:row>
    <x:row r="72" ht="36" customHeight="1">
      <x:c r="A72" s="24" t="n">
        <x:v>71</x:v>
      </x:c>
      <x:c r="B72" s="22" t="str">
        <x:v>Mortar</x:v>
      </x:c>
      <x:c r="C72" s="22" t="str">
        <x:v>Building</x:v>
      </x:c>
      <x:c r="D72" s="22" t="str">
        <x:v>Common</x:v>
      </x:c>
      <x:c r="E72" s="24" t="n">
        <x:v>4</x:v>
      </x:c>
      <x:c r="F72" s="20" t="str">
        <x:v>1</x:v>
      </x:c>
      <x:c r="G72" s="20" t="str">
        <x:v>Ground/buildings; long-range projectile</x:v>
      </x:c>
      <x:c r="H72" s="20" t="str">
        <x:v>Stationary / N/A</x:v>
      </x:c>
      <x:c r="I72" s="26" t="str">
        <x:v>N/A</x:v>
      </x:c>
      <x:c r="J72" s="20" t="str">
        <x:v>11.5</x:v>
      </x:c>
      <x:c r="K72" s="20" t="n">
        <x:v>5</x:v>
      </x:c>
      <x:c r="L72" s="20" t="str">
        <x:v>1.0</x:v>
      </x:c>
      <x:c r="M72" s="20" t="str">
        <x:v>30s</x:v>
      </x:c>
      <x:c r="N72" s="20" t="str">
        <x:v>1,369</x:v>
      </x:c>
      <x:c r="O72" s="20"/>
      <x:c r="P72" s="20" t="str">
        <x:v>266 area</x:v>
      </x:c>
      <x:c r="Q72" s="20" t="str">
        <x:v>See damage/effect note</x:v>
      </x:c>
      <x:c r="R72" s="20" t="str">
        <x:v>Mortar attack object</x:v>
      </x:c>
      <x:c r="S72" s="20" t="str">
        <x:v>300 attack</x:v>
      </x:c>
      <x:c r="T72" s="20" t="str">
        <x:v>N/A</x:v>
      </x:c>
      <x:c r="U72" s="20" t="n">
        <x:v>0.6</x:v>
      </x:c>
      <x:c r="V72" s="20" t="n">
        <x:v>11.5</x:v>
      </x:c>
      <x:c r="W72" s="20" t="str">
        <x:v>Long-range siege building; blind spot/min range.</x:v>
      </x:c>
      <x:c r="X72" s="28" t="str">
        <x:v>Level 11 public stats included where verified; hidden fields (mass/collision/sight/projectile/splash) cross-checked against AesDragon hidden-stat tables. N/A means not applicable.</x:v>
      </x:c>
      <x:c r="Y72" s="28" t="str">
        <x:v>https://www.deckshop.pro/card/stats
https://www.deckshop.pro/card/hitpoints
https://deckmelon.com/cards/mortar
https://clashroyale.fandom.com/wiki/Mortar
https://www.deckshop.pro/card/detail/mortar
https://liquipedia.net/clashroyale/Mortar</x:v>
      </x:c>
      <x:c r="Z72" s="28" t="str">
        <x:v>https://clashroyale.fandom.com/wiki/User_blog:AesDragon/Hidden_card_stats:_Mass
https://clashroyale.fandom.com/wiki/User_blog:AesDragon/Hidden_card_stats:_Collision_radius
https://clashroyale.fandom.com/wiki/User_blog:AesDragon/Hidden_card_stats:_Sight_range
https://clashroyale.fandom.com/wiki/User_blog:AesDragon/Hidden_card_stats:_Projectile_travel_speeds
https://clashroyale.fandom.com/wiki/User_blog:AesDragon/Hidden_card_stats:_Area_damage_radius</x:v>
      </x:c>
      <x:c r="AA72" s="28" t="str">
        <x:v>https://github.com/smlbiobot/cr-csv/blob/master/assets/csv_logic/characters.csv
https://github.com/smlbiobot/cr-csv/blob/master/assets/csv_logic/projectiles.csv</x:v>
      </x:c>
      <x:c r="AB72" s="28" t="str">
        <x:v>Updated: L11 HP/area damage verified.</x:v>
      </x:c>
      <x:c r="AC72" t="str">
        <x:v>2.0</x:v>
      </x:c>
      <x:c r="AD72" t="str">
        <x:v>Non-homing building projectile splash</x:v>
      </x:c>
    </x:row>
    <x:row r="73" ht="36" customHeight="1">
      <x:c r="A73" s="24" t="n">
        <x:v>72</x:v>
      </x:c>
      <x:c r="B73" s="22" t="str">
        <x:v>Tesla</x:v>
      </x:c>
      <x:c r="C73" s="22" t="str">
        <x:v>Building</x:v>
      </x:c>
      <x:c r="D73" s="22" t="str">
        <x:v>Common</x:v>
      </x:c>
      <x:c r="E73" s="24" t="n">
        <x:v>4</x:v>
      </x:c>
      <x:c r="F73" s="20" t="str">
        <x:v>1</x:v>
      </x:c>
      <x:c r="G73" s="20" t="str">
        <x:v>Air &amp; ground</x:v>
      </x:c>
      <x:c r="H73" s="20" t="str">
        <x:v>Stationary / N/A</x:v>
      </x:c>
      <x:c r="I73" s="26" t="str">
        <x:v>N/A</x:v>
      </x:c>
      <x:c r="J73" s="20" t="str">
        <x:v>5.5</x:v>
      </x:c>
      <x:c r="K73" s="20" t="n">
        <x:v>1.1</x:v>
      </x:c>
      <x:c r="L73" s="20" t="str">
        <x:v>1.0</x:v>
      </x:c>
      <x:c r="M73" s="20" t="str">
        <x:v>30s</x:v>
      </x:c>
      <x:c r="N73" s="20" t="str">
        <x:v>1,152</x:v>
      </x:c>
      <x:c r="O73" s="20"/>
      <x:c r="P73" s="20" t="str">
        <x:v>220</x:v>
      </x:c>
      <x:c r="Q73" s="20" t="str">
        <x:v>See damage/effect note</x:v>
      </x:c>
      <x:c r="R73" s="20" t="str">
        <x:v>Tesla attack object</x:v>
      </x:c>
      <x:c r="S73" s="20" t="str">
        <x:v>—</x:v>
      </x:c>
      <x:c r="T73" s="20" t="str">
        <x:v>N/A</x:v>
      </x:c>
      <x:c r="U73" s="20" t="n">
        <x:v>0.5</x:v>
      </x:c>
      <x:c r="V73" s="20" t="n">
        <x:v>5.5</x:v>
      </x:c>
      <x:c r="W73" s="20" t="str">
        <x:v>Hidden until attacking/triggered; air/ground.</x:v>
      </x:c>
      <x:c r="X73" s="28" t="str">
        <x:v>Level 11 public stats included where verified; hidden fields (mass/collision/sight/projectile/splash) cross-checked against AesDragon hidden-stat tables. N/A means not applicable.</x:v>
      </x:c>
      <x:c r="Y73" s="28" t="str">
        <x:v>https://www.deckshop.pro/card/stats
https://www.deckshop.pro/card/hitpoints
https://deckmelon.com/cards/tesla
https://clashroyale.fandom.com/wiki/Tesla
https://www.deckshop.pro/card/detail/tesla</x:v>
      </x:c>
      <x:c r="Z73" s="28" t="str">
        <x:v>https://clashroyale.fandom.com/wiki/User_blog:AesDragon/Hidden_card_stats:_Mass
https://clashroyale.fandom.com/wiki/User_blog:AesDragon/Hidden_card_stats:_Collision_radius
https://clashroyale.fandom.com/wiki/User_blog:AesDragon/Hidden_card_stats:_Sight_range
https://clashroyale.fandom.com/wiki/User_blog:AesDragon/Hidden_card_stats:_Projectile_travel_speeds
https://clashroyale.fandom.com/wiki/User_blog:AesDragon/Hidden_card_stats:_Area_damage_radius</x:v>
      </x:c>
      <x:c r="AA73" s="28" t="str">
        <x:v>https://github.com/smlbiobot/cr-csv/blob/master/assets/csv_logic/characters.csv
https://github.com/smlbiobot/cr-csv/blob/master/assets/csv_logic/projectiles.csv</x:v>
      </x:c>
      <x:c r="AB73" s="28" t="str">
        <x:v>Updated: L11 HP/damage verified.</x:v>
      </x:c>
      <x:c r="AC73" t="str">
        <x:v>N/A</x:v>
      </x:c>
      <x:c r="AD73" t="str">
        <x:v>Single-target / no splash or AoE</x:v>
      </x:c>
    </x:row>
    <x:row r="74" ht="36" customHeight="1">
      <x:c r="A74" s="24" t="n">
        <x:v>73</x:v>
      </x:c>
      <x:c r="B74" s="22" t="str">
        <x:v>Goblin Hut</x:v>
      </x:c>
      <x:c r="C74" s="22" t="str">
        <x:v>Building</x:v>
      </x:c>
      <x:c r="D74" s="22" t="str">
        <x:v>Rare</x:v>
      </x:c>
      <x:c r="E74" s="24" t="n">
        <x:v>5</x:v>
      </x:c>
      <x:c r="F74" s="20" t="str">
        <x:v>Spawner</x:v>
      </x:c>
      <x:c r="G74" s="20" t="str">
        <x:v>Spawner; Spear Goblins target air &amp; ground</x:v>
      </x:c>
      <x:c r="H74" s="20" t="str">
        <x:v>Stationary / N/A</x:v>
      </x:c>
      <x:c r="I74" s="26" t="str">
        <x:v>N/A</x:v>
      </x:c>
      <x:c r="J74" s="20" t="str">
        <x:v>6.0</x:v>
      </x:c>
      <x:c r="K74" s="20" t="str">
        <x:v>N/A</x:v>
      </x:c>
      <x:c r="L74" s="20" t="str">
        <x:v>1.0</x:v>
      </x:c>
      <x:c r="M74" s="20" t="str">
        <x:v>Building lifetime</x:v>
      </x:c>
      <x:c r="N74" s="20" t="str">
        <x:v>1,180</x:v>
      </x:c>
      <x:c r="O74" s="20"/>
      <x:c r="P74" s="20" t="str">
        <x:v>Spawns Spear Goblins</x:v>
      </x:c>
      <x:c r="Q74" s="20" t="str">
        <x:v>See damage/effect note</x:v>
      </x:c>
      <x:c r="R74" s="20" t="str">
        <x:v>Attack projectile</x:v>
      </x:c>
      <x:c r="S74" s="20" t="str">
        <x:v>500 spawned Spear Goblins</x:v>
      </x:c>
      <x:c r="T74" s="20" t="str">
        <x:v>N/A</x:v>
      </x:c>
      <x:c r="U74" s="20" t="n">
        <x:v>1</x:v>
      </x:c>
      <x:c r="V74" s="20" t="str">
        <x:v>0 effective (spawner/no direct attack)</x:v>
      </x:c>
      <x:c r="W74" s="20" t="str">
        <x:v>Spawner building for Spear Goblins.</x:v>
      </x:c>
      <x:c r="X74" s="28" t="str">
        <x:v>Level 11 public stats included where verified; hidden fields (mass/collision/sight/projectile/splash) cross-checked against AesDragon hidden-stat tables. N/A means not applicable.</x:v>
      </x:c>
      <x:c r="Y74" s="28" t="str">
        <x:v>https://www.deckshop.pro/card/stats
https://www.deckshop.pro/card/hitpoints
https://deckmelon.com/cards/goblin-hut
https://clashroyale.fandom.com/wiki/Goblin_Hut
https://www.deckshop.pro/cp/card/detail/goblin-hut</x:v>
      </x:c>
      <x:c r="Z74" s="28" t="str">
        <x:v>https://clashroyale.fandom.com/wiki/User_blog:AesDragon/Hidden_card_stats:_Mass
https://clashroyale.fandom.com/wiki/User_blog:AesDragon/Hidden_card_stats:_Collision_radius
https://clashroyale.fandom.com/wiki/User_blog:AesDragon/Hidden_card_stats:_Sight_range
https://clashroyale.fandom.com/wiki/User_blog:AesDragon/Hidden_card_stats:_Projectile_travel_speeds
https://clashroyale.fandom.com/wiki/User_blog:AesDragon/Hidden_card_stats:_Area_damage_radius</x:v>
      </x:c>
      <x:c r="AA74" s="28" t="str">
        <x:v>https://github.com/smlbiobot/cr-csv/blob/master/assets/csv_logic/characters.csv
https://github.com/smlbiobot/cr-csv/blob/master/assets/csv_logic/projectiles.csv</x:v>
      </x:c>
      <x:c r="AB74" s="28" t="str">
        <x:v>Updated: L11 HP verified; sight clarified as spawner/no direct attack.</x:v>
      </x:c>
      <x:c r="AC74" t="str">
        <x:v>N/A</x:v>
      </x:c>
      <x:c r="AD74" t="str">
        <x:v>Single-target / no splash or AoE</x:v>
      </x:c>
    </x:row>
    <x:row r="75" ht="36" customHeight="1">
      <x:c r="A75" s="24" t="n">
        <x:v>74</x:v>
      </x:c>
      <x:c r="B75" s="22" t="str">
        <x:v>Tombstone</x:v>
      </x:c>
      <x:c r="C75" s="22" t="str">
        <x:v>Building</x:v>
      </x:c>
      <x:c r="D75" s="22" t="str">
        <x:v>Rare</x:v>
      </x:c>
      <x:c r="E75" s="24" t="n">
        <x:v>3</x:v>
      </x:c>
      <x:c r="F75" s="20" t="str">
        <x:v>Spawner</x:v>
      </x:c>
      <x:c r="G75" s="20" t="str">
        <x:v>Spawner; Skeletons target ground</x:v>
      </x:c>
      <x:c r="H75" s="20" t="str">
        <x:v>Stationary / N/A</x:v>
      </x:c>
      <x:c r="I75" s="26" t="str">
        <x:v>N/A</x:v>
      </x:c>
      <x:c r="J75" s="20" t="str">
        <x:v>N/A</x:v>
      </x:c>
      <x:c r="K75" s="20" t="str">
        <x:v>N/A</x:v>
      </x:c>
      <x:c r="L75" s="20" t="str">
        <x:v>1.0</x:v>
      </x:c>
      <x:c r="M75" s="20" t="str">
        <x:v>Building lifetime</x:v>
      </x:c>
      <x:c r="N75" s="20" t="str">
        <x:v>529</x:v>
      </x:c>
      <x:c r="O75" s="20"/>
      <x:c r="P75" s="20" t="str">
        <x:v>Spawns Skeletons; Skeletons 81 HP / 81 damage</x:v>
      </x:c>
      <x:c r="Q75" s="20" t="str">
        <x:v>See damage/effect note</x:v>
      </x:c>
      <x:c r="R75" s="20" t="str">
        <x:v>Melee / no projectile</x:v>
      </x:c>
      <x:c r="S75" s="20" t="str">
        <x:v>— spawned Skeletons melee</x:v>
      </x:c>
      <x:c r="T75" s="20" t="str">
        <x:v>N/A</x:v>
      </x:c>
      <x:c r="U75" s="20" t="n">
        <x:v>1</x:v>
      </x:c>
      <x:c r="V75" s="20" t="str">
        <x:v>0 effective (spawner/no direct attack)</x:v>
      </x:c>
      <x:c r="W75" s="20" t="str">
        <x:v>Spawner building for Skeletons; death spawns additional Skeletons.</x:v>
      </x:c>
      <x:c r="X75" s="28" t="str">
        <x:v>Level 11 public stats included where verified; hidden fields (mass/collision/sight/projectile/splash) cross-checked against AesDragon hidden-stat tables. N/A means not applicable.</x:v>
      </x:c>
      <x:c r="Y75" s="28" t="str">
        <x:v>https://www.deckshop.pro/card/stats
https://www.deckshop.pro/card/hitpoints
https://deckmelon.com/cards/tombstone
https://clashroyale.fandom.com/wiki/Tombstone
https://www.deckshop.pro/mk/card/detail/tombstone
https://clashroyale.fandom.com/wiki/Skeletons</x:v>
      </x:c>
      <x:c r="Z75" s="28" t="str">
        <x:v>https://clashroyale.fandom.com/wiki/User_blog:AesDragon/Hidden_card_stats:_Mass
https://clashroyale.fandom.com/wiki/User_blog:AesDragon/Hidden_card_stats:_Collision_radius
https://clashroyale.fandom.com/wiki/User_blog:AesDragon/Hidden_card_stats:_Sight_range
https://clashroyale.fandom.com/wiki/User_blog:AesDragon/Hidden_card_stats:_Projectile_travel_speeds
https://clashroyale.fandom.com/wiki/User_blog:AesDragon/Hidden_card_stats:_Area_damage_radius</x:v>
      </x:c>
      <x:c r="AA75" s="28" t="str">
        <x:v>https://github.com/smlbiobot/cr-csv/blob/master/assets/csv_logic/characters.csv
https://github.com/smlbiobot/cr-csv/blob/master/assets/csv_logic/projectiles.csv</x:v>
      </x:c>
      <x:c r="AB75" s="28" t="str">
        <x:v>Updated: L11 HP and spawned Skeleton stats verified.</x:v>
      </x:c>
      <x:c r="AC75" t="str">
        <x:v>N/A</x:v>
      </x:c>
      <x:c r="AD75" t="str">
        <x:v>Single-target / no splash or AoE</x:v>
      </x:c>
    </x:row>
    <x:row r="76" ht="36" customHeight="1">
      <x:c r="A76" s="24" t="n">
        <x:v>75</x:v>
      </x:c>
      <x:c r="B76" s="22" t="str">
        <x:v>Bomb Tower</x:v>
      </x:c>
      <x:c r="C76" s="22" t="str">
        <x:v>Building</x:v>
      </x:c>
      <x:c r="D76" s="22" t="str">
        <x:v>Rare</x:v>
      </x:c>
      <x:c r="E76" s="24" t="n">
        <x:v>4</x:v>
      </x:c>
      <x:c r="F76" s="20" t="str">
        <x:v>1</x:v>
      </x:c>
      <x:c r="G76" s="20" t="str">
        <x:v>Ground splash</x:v>
      </x:c>
      <x:c r="H76" s="20" t="str">
        <x:v>Stationary / N/A</x:v>
      </x:c>
      <x:c r="I76" s="26" t="str">
        <x:v>N/A</x:v>
      </x:c>
      <x:c r="J76" s="20" t="str">
        <x:v>6.0</x:v>
      </x:c>
      <x:c r="K76" s="20" t="n">
        <x:v>1.6</x:v>
      </x:c>
      <x:c r="L76" s="20" t="str">
        <x:v>1.0</x:v>
      </x:c>
      <x:c r="M76" s="20" t="str">
        <x:v>30s</x:v>
      </x:c>
      <x:c r="N76" s="20" t="str">
        <x:v>1,356</x:v>
      </x:c>
      <x:c r="O76" s="20"/>
      <x:c r="P76" s="20" t="str">
        <x:v>222 area; 222 death damage</x:v>
      </x:c>
      <x:c r="Q76" s="20" t="str">
        <x:v>See damage/effect note</x:v>
      </x:c>
      <x:c r="R76" s="20" t="str">
        <x:v>Bomb Tower attack object</x:v>
      </x:c>
      <x:c r="S76" s="20" t="str">
        <x:v>400 attack</x:v>
      </x:c>
      <x:c r="T76" s="20" t="str">
        <x:v>N/A</x:v>
      </x:c>
      <x:c r="U76" s="20" t="n">
        <x:v>0.6</x:v>
      </x:c>
      <x:c r="V76" s="20" t="n">
        <x:v>5.5</x:v>
      </x:c>
      <x:c r="W76" s="20" t="str">
        <x:v>Ground splash defensive building; death bomb.</x:v>
      </x:c>
      <x:c r="X76" s="28" t="str">
        <x:v>Level 11 public stats included where verified; hidden fields (mass/collision/sight/projectile/splash) cross-checked against AesDragon hidden-stat tables. N/A means not applicable.</x:v>
      </x:c>
      <x:c r="Y76" s="28" t="str">
        <x:v>https://www.deckshop.pro/card/stats
https://www.deckshop.pro/card/hitpoints
https://deckmelon.com/cards/bomb-tower
https://clashroyale.fandom.com/wiki/Bomb_Tower
https://www.deckshop.pro/card/detail/bomb-tower</x:v>
      </x:c>
      <x:c r="Z76" s="28" t="str">
        <x:v>https://clashroyale.fandom.com/wiki/User_blog:AesDragon/Hidden_card_stats:_Mass
https://clashroyale.fandom.com/wiki/User_blog:AesDragon/Hidden_card_stats:_Collision_radius
https://clashroyale.fandom.com/wiki/User_blog:AesDragon/Hidden_card_stats:_Sight_range
https://clashroyale.fandom.com/wiki/User_blog:AesDragon/Hidden_card_stats:_Projectile_travel_speeds
https://clashroyale.fandom.com/wiki/User_blog:AesDragon/Hidden_card_stats:_Area_damage_radius</x:v>
      </x:c>
      <x:c r="AA76" s="28" t="str">
        <x:v>https://github.com/smlbiobot/cr-csv/blob/master/assets/csv_logic/characters.csv
https://github.com/smlbiobot/cr-csv/blob/master/assets/csv_logic/projectiles.csv</x:v>
      </x:c>
      <x:c r="AB76" s="28" t="str">
        <x:v>Updated: L11 HP/damage/death damage verified; splash radius added.</x:v>
      </x:c>
      <x:c r="AC76" t="str">
        <x:v>1.5 attack / 3.0 death bomb</x:v>
      </x:c>
      <x:c r="AD76" t="str">
        <x:v>Non-homing projectile splash plus death bomb</x:v>
      </x:c>
    </x:row>
    <x:row r="77" ht="36" customHeight="1">
      <x:c r="A77" s="24" t="n">
        <x:v>76</x:v>
      </x:c>
      <x:c r="B77" s="22" t="str">
        <x:v>Inferno Tower</x:v>
      </x:c>
      <x:c r="C77" s="22" t="str">
        <x:v>Building</x:v>
      </x:c>
      <x:c r="D77" s="22" t="str">
        <x:v>Rare</x:v>
      </x:c>
      <x:c r="E77" s="24" t="n">
        <x:v>5</x:v>
      </x:c>
      <x:c r="F77" s="20" t="str">
        <x:v>1</x:v>
      </x:c>
      <x:c r="G77" s="20" t="str">
        <x:v>Air &amp; ground</x:v>
      </x:c>
      <x:c r="H77" s="20" t="str">
        <x:v>Stationary / N/A</x:v>
      </x:c>
      <x:c r="I77" s="26" t="str">
        <x:v>N/A</x:v>
      </x:c>
      <x:c r="J77" s="20" t="str">
        <x:v>6.0</x:v>
      </x:c>
      <x:c r="K77" s="20" t="n">
        <x:v>0.4</x:v>
      </x:c>
      <x:c r="L77" s="20" t="str">
        <x:v>1.0</x:v>
      </x:c>
      <x:c r="M77" s="20" t="str">
        <x:v>30s</x:v>
      </x:c>
      <x:c r="N77" s="20" t="str">
        <x:v>1,748</x:v>
      </x:c>
      <x:c r="O77" s="20"/>
      <x:c r="P77" s="20" t="str">
        <x:v>43 / 158 / 847 ramping</x:v>
      </x:c>
      <x:c r="Q77" s="20" t="str">
        <x:v>See damage/effect note</x:v>
      </x:c>
      <x:c r="R77" s="20" t="str">
        <x:v>Inferno Tower attack object</x:v>
      </x:c>
      <x:c r="S77" s="20" t="str">
        <x:v>—</x:v>
      </x:c>
      <x:c r="T77" s="20" t="str">
        <x:v>N/A</x:v>
      </x:c>
      <x:c r="U77" s="20" t="n">
        <x:v>0.6</x:v>
      </x:c>
      <x:c r="V77" s="20" t="n">
        <x:v>6</x:v>
      </x:c>
      <x:c r="W77" s="20" t="str">
        <x:v>Ramping single-target beam; air/ground; reset-vulnerable.</x:v>
      </x:c>
      <x:c r="X77" s="28" t="str">
        <x:v>Level 11 public stats included where verified; hidden fields (mass/collision/sight/projectile/splash) cross-checked against AesDragon hidden-stat tables. N/A means not applicable.</x:v>
      </x:c>
      <x:c r="Y77" s="28" t="str">
        <x:v>https://www.deckshop.pro/card/stats
https://www.deckshop.pro/card/hitpoints
https://deckmelon.com/cards/inferno-tower
https://clashroyale.fandom.com/wiki/Inferno_Tower</x:v>
      </x:c>
      <x:c r="Z77" s="28" t="str">
        <x:v>https://clashroyale.fandom.com/wiki/User_blog:AesDragon/Hidden_card_stats:_Mass
https://clashroyale.fandom.com/wiki/User_blog:AesDragon/Hidden_card_stats:_Collision_radius
https://clashroyale.fandom.com/wiki/User_blog:AesDragon/Hidden_card_stats:_Sight_range
https://clashroyale.fandom.com/wiki/User_blog:AesDragon/Hidden_card_stats:_Projectile_travel_speeds
https://clashroyale.fandom.com/wiki/User_blog:AesDragon/Hidden_card_stats:_Area_damage_radius</x:v>
      </x:c>
      <x:c r="AA77" s="28" t="str">
        <x:v>https://github.com/smlbiobot/cr-csv/blob/master/assets/csv_logic/characters.csv
https://github.com/smlbiobot/cr-csv/blob/master/assets/csv_logic/projectiles.csv</x:v>
      </x:c>
      <x:c r="AB77" s="28" t="str">
        <x:v>Current L11 from Deckmelon.</x:v>
      </x:c>
      <x:c r="AC77" t="str">
        <x:v>N/A</x:v>
      </x:c>
      <x:c r="AD77" t="str">
        <x:v>Single-target / no splash or AoE</x:v>
      </x:c>
    </x:row>
    <x:row r="78" ht="36" customHeight="1">
      <x:c r="A78" s="24" t="n">
        <x:v>77</x:v>
      </x:c>
      <x:c r="B78" s="22" t="str">
        <x:v>Barbarian Hut</x:v>
      </x:c>
      <x:c r="C78" s="22" t="str">
        <x:v>Building</x:v>
      </x:c>
      <x:c r="D78" s="22" t="str">
        <x:v>Rare</x:v>
      </x:c>
      <x:c r="E78" s="24" t="n">
        <x:v>6</x:v>
      </x:c>
      <x:c r="F78" s="20" t="str">
        <x:v>Spawner</x:v>
      </x:c>
      <x:c r="G78" s="20" t="str">
        <x:v>Spawner; Barbarians target ground</x:v>
      </x:c>
      <x:c r="H78" s="20" t="str">
        <x:v>Stationary / N/A</x:v>
      </x:c>
      <x:c r="I78" s="26" t="str">
        <x:v>N/A</x:v>
      </x:c>
      <x:c r="J78" s="20" t="str">
        <x:v>N/A</x:v>
      </x:c>
      <x:c r="K78" s="20" t="str">
        <x:v>N/A</x:v>
      </x:c>
      <x:c r="L78" s="20" t="str">
        <x:v>1.0</x:v>
      </x:c>
      <x:c r="M78" s="20" t="str">
        <x:v>30s</x:v>
      </x:c>
      <x:c r="N78" s="20" t="str">
        <x:v>1,164</x:v>
      </x:c>
      <x:c r="O78" s="20"/>
      <x:c r="P78" s="20" t="str">
        <x:v>Spawns Barbarians; Barbarians 670 HP / 192 damage</x:v>
      </x:c>
      <x:c r="Q78" s="20" t="str">
        <x:v>See damage/effect note</x:v>
      </x:c>
      <x:c r="R78" s="20" t="str">
        <x:v>Melee / no projectile</x:v>
      </x:c>
      <x:c r="S78" s="20" t="str">
        <x:v>— spawned Barbarians melee</x:v>
      </x:c>
      <x:c r="T78" s="20" t="str">
        <x:v>N/A</x:v>
      </x:c>
      <x:c r="U78" s="20" t="n">
        <x:v>1</x:v>
      </x:c>
      <x:c r="V78" s="20" t="str">
        <x:v>0 effective (spawner/no direct attack)</x:v>
      </x:c>
      <x:c r="W78" s="20" t="str">
        <x:v>Spawner building for Barbarians.</x:v>
      </x:c>
      <x:c r="X78" s="28" t="str">
        <x:v>Level 11 public stats included where verified; hidden fields (mass/collision/sight/projectile/splash) cross-checked against AesDragon hidden-stat tables. N/A means not applicable.</x:v>
      </x:c>
      <x:c r="Y78" s="28" t="str">
        <x:v>https://www.deckshop.pro/card/stats
https://www.deckshop.pro/card/hitpoints
https://deckmelon.com/cards/barbarian-hut
https://clashroyale.fandom.com/wiki/Barbarian_Hut</x:v>
      </x:c>
      <x:c r="Z78" s="28" t="str">
        <x:v>https://clashroyale.fandom.com/wiki/User_blog:AesDragon/Hidden_card_stats:_Mass
https://clashroyale.fandom.com/wiki/User_blog:AesDragon/Hidden_card_stats:_Collision_radius
https://clashroyale.fandom.com/wiki/User_blog:AesDragon/Hidden_card_stats:_Sight_range
https://clashroyale.fandom.com/wiki/User_blog:AesDragon/Hidden_card_stats:_Projectile_travel_speeds
https://clashroyale.fandom.com/wiki/User_blog:AesDragon/Hidden_card_stats:_Area_damage_radius</x:v>
      </x:c>
      <x:c r="AA78" s="28" t="str">
        <x:v>https://github.com/smlbiobot/cr-csv/blob/master/assets/csv_logic/characters.csv
https://github.com/smlbiobot/cr-csv/blob/master/assets/csv_logic/projectiles.csv</x:v>
      </x:c>
      <x:c r="AB78" s="28" t="str">
        <x:v>Updated: L11 hut and spawned Barbarian stats verified.</x:v>
      </x:c>
      <x:c r="AC78" t="str">
        <x:v>N/A</x:v>
      </x:c>
      <x:c r="AD78" t="str">
        <x:v>Single-target / no splash or AoE</x:v>
      </x:c>
    </x:row>
    <x:row r="79" ht="36" customHeight="1">
      <x:c r="A79" s="24" t="n">
        <x:v>78</x:v>
      </x:c>
      <x:c r="B79" s="22" t="str">
        <x:v>Furnace</x:v>
      </x:c>
      <x:c r="C79" s="22" t="str">
        <x:v>Building</x:v>
      </x:c>
      <x:c r="D79" s="22" t="str">
        <x:v>Rare</x:v>
      </x:c>
      <x:c r="E79" s="24" t="n">
        <x:v>4</x:v>
      </x:c>
      <x:c r="F79" s="20" t="str">
        <x:v>Spawner</x:v>
      </x:c>
      <x:c r="G79" s="20" t="str">
        <x:v>Spawner; Fire Spirits target air &amp; ground</x:v>
      </x:c>
      <x:c r="H79" s="20" t="str">
        <x:v>Stationary / N/A</x:v>
      </x:c>
      <x:c r="I79" s="26" t="str">
        <x:v>N/A</x:v>
      </x:c>
      <x:c r="J79" s="20" t="str">
        <x:v>6.0</x:v>
      </x:c>
      <x:c r="K79" s="20" t="str">
        <x:v>N/A</x:v>
      </x:c>
      <x:c r="L79" s="20" t="str">
        <x:v>1.0</x:v>
      </x:c>
      <x:c r="M79" s="20" t="str">
        <x:v>30s</x:v>
      </x:c>
      <x:c r="N79" s="20" t="str">
        <x:v>896</x:v>
      </x:c>
      <x:c r="O79" s="20"/>
      <x:c r="P79" s="20" t="str">
        <x:v>Spawns Fire Spirits; Fire Spirit 135 area damage</x:v>
      </x:c>
      <x:c r="Q79" s="20" t="str">
        <x:v>See damage/effect note</x:v>
      </x:c>
      <x:c r="R79" s="20" t="str">
        <x:v>Attack projectile</x:v>
      </x:c>
      <x:c r="S79" s="20" t="str">
        <x:v>400 spawned Fire Spirits</x:v>
      </x:c>
      <x:c r="T79" s="20" t="str">
        <x:v>N/A</x:v>
      </x:c>
      <x:c r="U79" s="20" t="n">
        <x:v>1</x:v>
      </x:c>
      <x:c r="V79" s="20" t="str">
        <x:v>0 effective (spawner/no direct attack)</x:v>
      </x:c>
      <x:c r="W79" s="20" t="str">
        <x:v>Spawner building for Fire Spirits.</x:v>
      </x:c>
      <x:c r="X79" s="28" t="str">
        <x:v>Level 11 public stats included where verified; hidden fields (mass/collision/sight/projectile/splash) cross-checked against AesDragon hidden-stat tables. N/A means not applicable.</x:v>
      </x:c>
      <x:c r="Y79" s="28" t="str">
        <x:v>https://www.deckshop.pro/card/stats
https://www.deckshop.pro/card/hitpoints
https://deckmelon.com/cards/furnace
https://clashroyale.fandom.com/wiki/Furnace
https://www.deckshop.pro/cr/card/detail/furnace</x:v>
      </x:c>
      <x:c r="Z79" s="28" t="str">
        <x:v>https://clashroyale.fandom.com/wiki/User_blog:AesDragon/Hidden_card_stats:_Mass
https://clashroyale.fandom.com/wiki/User_blog:AesDragon/Hidden_card_stats:_Collision_radius
https://clashroyale.fandom.com/wiki/User_blog:AesDragon/Hidden_card_stats:_Sight_range
https://clashroyale.fandom.com/wiki/User_blog:AesDragon/Hidden_card_stats:_Projectile_travel_speeds
https://clashroyale.fandom.com/wiki/User_blog:AesDragon/Hidden_card_stats:_Area_damage_radius</x:v>
      </x:c>
      <x:c r="AA79" s="28" t="str">
        <x:v>https://github.com/smlbiobot/cr-csv/blob/master/assets/csv_logic/characters.csv
https://github.com/smlbiobot/cr-csv/blob/master/assets/csv_logic/projectiles.csv</x:v>
      </x:c>
      <x:c r="AB79" s="28" t="str">
        <x:v>Updated: L11 building HP and Fire Spirit damage verified.</x:v>
      </x:c>
      <x:c r="AC79" t="str">
        <x:v>1.7 via spawned Fire Spirits</x:v>
      </x:c>
      <x:c r="AD79" t="str">
        <x:v>Spawner itself has no attack</x:v>
      </x:c>
    </x:row>
    <x:row r="80" ht="36" customHeight="1">
      <x:c r="A80" s="24" t="n">
        <x:v>79</x:v>
      </x:c>
      <x:c r="B80" s="22" t="str">
        <x:v>Elixir Collector</x:v>
      </x:c>
      <x:c r="C80" s="22" t="str">
        <x:v>Building</x:v>
      </x:c>
      <x:c r="D80" s="22" t="str">
        <x:v>Rare</x:v>
      </x:c>
      <x:c r="E80" s="24" t="n">
        <x:v>6</x:v>
      </x:c>
      <x:c r="F80" s="20" t="str">
        <x:v>1</x:v>
      </x:c>
      <x:c r="G80" s="20" t="str">
        <x:v>Resource building</x:v>
      </x:c>
      <x:c r="H80" s="20" t="str">
        <x:v>Stationary / N/A</x:v>
      </x:c>
      <x:c r="I80" s="26" t="str">
        <x:v>N/A</x:v>
      </x:c>
      <x:c r="J80" s="20" t="str">
        <x:v>N/A</x:v>
      </x:c>
      <x:c r="K80" s="20" t="str">
        <x:v>N/A</x:v>
      </x:c>
      <x:c r="L80" s="20" t="str">
        <x:v>1.0</x:v>
      </x:c>
      <x:c r="M80" s="20" t="str">
        <x:v>Resource lifetime</x:v>
      </x:c>
      <x:c r="N80" s="20" t="str">
        <x:v>1,070</x:v>
      </x:c>
      <x:c r="O80" s="20"/>
      <x:c r="P80" s="20" t="str">
        <x:v>Generates 1 Elixir every 13s; 8 Elixir total over lifetime</x:v>
      </x:c>
      <x:c r="Q80" s="20" t="str">
        <x:v>See damage/effect note</x:v>
      </x:c>
      <x:c r="R80" s="20" t="str">
        <x:v>Melee / no projectile</x:v>
      </x:c>
      <x:c r="S80" s="20" t="str">
        <x:v>—</x:v>
      </x:c>
      <x:c r="T80" s="20" t="str">
        <x:v>N/A</x:v>
      </x:c>
      <x:c r="U80" s="20" t="n">
        <x:v>1</x:v>
      </x:c>
      <x:c r="V80" s="20" t="str">
        <x:v>0 effective (passive building)</x:v>
      </x:c>
      <x:c r="W80" s="20" t="str">
        <x:v>Generates Elixir over time; resource building.</x:v>
      </x:c>
      <x:c r="X80" s="28" t="str">
        <x:v>Level 11 public stats included where verified; hidden fields (mass/collision/sight/projectile/splash) cross-checked against AesDragon hidden-stat tables. N/A means not applicable.</x:v>
      </x:c>
      <x:c r="Y80" s="28" t="str">
        <x:v>https://www.deckshop.pro/card/stats
https://www.deckshop.pro/card/hitpoints
https://deckmelon.com/cards/elixir-collector
https://clashroyale.fandom.com/wiki/Elixir_Collector
https://liquipedia.net/clashroyale/Elixir_Collector</x:v>
      </x:c>
      <x:c r="Z80" s="28" t="str">
        <x:v>https://clashroyale.fandom.com/wiki/User_blog:AesDragon/Hidden_card_stats:_Mass
https://clashroyale.fandom.com/wiki/User_blog:AesDragon/Hidden_card_stats:_Collision_radius
https://clashroyale.fandom.com/wiki/User_blog:AesDragon/Hidden_card_stats:_Sight_range
https://clashroyale.fandom.com/wiki/User_blog:AesDragon/Hidden_card_stats:_Projectile_travel_speeds
https://clashroyale.fandom.com/wiki/User_blog:AesDragon/Hidden_card_stats:_Area_damage_radius</x:v>
      </x:c>
      <x:c r="AA80" s="28" t="str">
        <x:v>https://github.com/smlbiobot/cr-csv/blob/master/assets/csv_logic/characters.csv
https://github.com/smlbiobot/cr-csv/blob/master/assets/csv_logic/projectiles.csv</x:v>
      </x:c>
      <x:c r="AB80" s="28" t="str">
        <x:v>Updated: L11 HP and production cadence verified.</x:v>
      </x:c>
      <x:c r="AC80" t="str">
        <x:v>N/A</x:v>
      </x:c>
      <x:c r="AD80" t="str">
        <x:v>Single-target / no splash or AoE</x:v>
      </x:c>
    </x:row>
    <x:row r="81" ht="36" customHeight="1">
      <x:c r="A81" s="24" t="n">
        <x:v>80</x:v>
      </x:c>
      <x:c r="B81" s="22" t="str">
        <x:v>X-Bow</x:v>
      </x:c>
      <x:c r="C81" s="22" t="str">
        <x:v>Building</x:v>
      </x:c>
      <x:c r="D81" s="22" t="str">
        <x:v>Epic</x:v>
      </x:c>
      <x:c r="E81" s="24" t="n">
        <x:v>6</x:v>
      </x:c>
      <x:c r="F81" s="20" t="str">
        <x:v>1</x:v>
      </x:c>
      <x:c r="G81" s="20" t="str">
        <x:v>Ground</x:v>
      </x:c>
      <x:c r="H81" s="20" t="str">
        <x:v>Stationary / N/A</x:v>
      </x:c>
      <x:c r="I81" s="26" t="str">
        <x:v>N/A</x:v>
      </x:c>
      <x:c r="J81" s="20" t="str">
        <x:v>11.5</x:v>
      </x:c>
      <x:c r="K81" s="20" t="n">
        <x:v>0.3</x:v>
      </x:c>
      <x:c r="L81" s="20" t="str">
        <x:v>1.0</x:v>
      </x:c>
      <x:c r="M81" s="20" t="str">
        <x:v>30s</x:v>
      </x:c>
      <x:c r="N81" s="20" t="str">
        <x:v>1,600</x:v>
      </x:c>
      <x:c r="O81" s="20"/>
      <x:c r="P81" s="20" t="str">
        <x:v>43 per shot</x:v>
      </x:c>
      <x:c r="Q81" s="20" t="str">
        <x:v>143 DPS</x:v>
      </x:c>
      <x:c r="R81" s="20" t="str">
        <x:v>X-Bow attack object</x:v>
      </x:c>
      <x:c r="S81" s="20" t="str">
        <x:v>1400 attack</x:v>
      </x:c>
      <x:c r="T81" s="20" t="str">
        <x:v>N/A</x:v>
      </x:c>
      <x:c r="U81" s="20" t="n">
        <x:v>0.6</x:v>
      </x:c>
      <x:c r="V81" s="20" t="n">
        <x:v>11.5</x:v>
      </x:c>
      <x:c r="W81" s="20" t="str">
        <x:v>Long-range rapid-fire siege building.</x:v>
      </x:c>
      <x:c r="X81" s="28" t="str">
        <x:v>Level 11 public stats included where verified; hidden fields (mass/collision/sight/projectile/splash) cross-checked against AesDragon hidden-stat tables. N/A means not applicable.</x:v>
      </x:c>
      <x:c r="Y81" s="28" t="str">
        <x:v>https://www.deckshop.pro/card/stats
https://www.deckshop.pro/card/hitpoints
https://deckmelon.com/cards/x-bow
https://clashroyale.fandom.com/wiki/X-Bow
https://www.deckshop.pro/card/detail/x-bow
https://liquipedia.net/clashroyale/X-Bow</x:v>
      </x:c>
      <x:c r="Z81" s="28" t="str">
        <x:v>https://clashroyale.fandom.com/wiki/User_blog:AesDragon/Hidden_card_stats:_Mass
https://clashroyale.fandom.com/wiki/User_blog:AesDragon/Hidden_card_stats:_Collision_radius
https://clashroyale.fandom.com/wiki/User_blog:AesDragon/Hidden_card_stats:_Sight_range
https://clashroyale.fandom.com/wiki/User_blog:AesDragon/Hidden_card_stats:_Projectile_travel_speeds
https://clashroyale.fandom.com/wiki/User_blog:AesDragon/Hidden_card_stats:_Area_damage_radius</x:v>
      </x:c>
      <x:c r="AA81" s="28" t="str">
        <x:v>https://github.com/smlbiobot/cr-csv/blob/master/assets/csv_logic/characters.csv
https://github.com/smlbiobot/cr-csv/blob/master/assets/csv_logic/projectiles.csv</x:v>
      </x:c>
      <x:c r="AB81" s="28" t="str">
        <x:v>Updated: L11 HP/damage verified.</x:v>
      </x:c>
      <x:c r="AC81" t="str">
        <x:v>N/A</x:v>
      </x:c>
      <x:c r="AD81" t="str">
        <x:v>Single-target / no splash or AoE</x:v>
      </x:c>
    </x:row>
  </x:sheetData>
  <x:pageMargins left="0.7" right="0.7" top="0.75" bottom="0.75" header="0.3" footer="0.3"/>
  <x:tableParts count="1">
    <x:tablePart xmlns:r="http://schemas.openxmlformats.org/officeDocument/2006/relationships" r:id="R8175780b4867421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52" hidden="0" customWidth="1"/>
    <x:col min="3" max="3" width="80" hidden="0" customWidth="1"/>
  </x:cols>
  <x:sheetData>
    <x:row r="1" ht="42" customHeight="1">
      <x:c r="A1" s="8" t="str">
        <x:v>Hidden / non-card-screen field</x:v>
      </x:c>
      <x:c r="B1" s="8" t="str">
        <x:v>Meaning in workbook</x:v>
      </x:c>
      <x:c r="C1" s="8" t="str">
        <x:v>Source / caveat</x:v>
      </x:c>
    </x:row>
    <x:row r="2" ht="50" customHeight="1">
      <x:c r="A2" s="14" t="str">
        <x:v>Movement speed number</x:v>
      </x:c>
      <x:c r="B2" s="14" t="str">
        <x:v>Card movement categories map to numeric speeds: Slow=45, Medium=60, Fast=90, Very Fast=120 tiles/min.</x:v>
      </x:c>
      <x:c r="C2" s="14" t="str">
        <x:v>Cards wiki and DeckShop speed categories.</x:v>
      </x:c>
    </x:row>
    <x:row r="3" ht="50" customHeight="1">
      <x:c r="A3" s="14" t="str">
        <x:v>Mass / weight</x:v>
      </x:c>
      <x:c r="B3" s="14" t="str">
        <x:v>Collision interaction / pushability value; lower mass is pushed around more easily. Not shown in-game.</x:v>
      </x:c>
      <x:c r="C3" s="14" t="str">
        <x:v>AesDragon hidden mass table; older datamine CSV cross-check.</x:v>
      </x:c>
    </x:row>
    <x:row r="4" ht="50" customHeight="1">
      <x:c r="A4" s="14" t="str">
        <x:v>Collision radius</x:v>
      </x:c>
      <x:c r="B4" s="14" t="str">
        <x:v>Approximate physical collision size in tiles. Larger units interact/target slightly earlier.</x:v>
      </x:c>
      <x:c r="C4" s="14" t="str">
        <x:v>AesDragon hidden collision-radius table; older datamine CSV cross-check.</x:v>
      </x:c>
    </x:row>
    <x:row r="5" ht="50" customHeight="1">
      <x:c r="A5" s="14" t="str">
        <x:v>Projectile speed</x:v>
      </x:c>
      <x:c r="B5" s="14" t="str">
        <x:v>Travel speed for ranged attacks and traveling spells in tiles/minute, where applicable.</x:v>
      </x:c>
      <x:c r="C5" s="14" t="str">
        <x:v>AesDragon hidden projectile-speed table; projectile datamine cross-check.</x:v>
      </x:c>
    </x:row>
    <x:row r="6" ht="50" customHeight="1">
      <x:c r="A6" s="14" t="str">
        <x:v>Sight range</x:v>
      </x:c>
      <x:c r="B6" s="14" t="str">
        <x:v>Internal aggro/target acquisition radius. Non-attacking spawners/producers are marked 0 effective.</x:v>
      </x:c>
      <x:c r="C6" s="14" t="str">
        <x:v>AesDragon hidden sight-range table; not an in-game UI stat.</x:v>
      </x:c>
    </x:row>
    <x:row r="7" ht="50" customHeight="1">
      <x:c r="A7" s="14" t="str">
        <x:v>Splash / AoE radius</x:v>
      </x:c>
      <x:c r="B7" s="14" t="str">
        <x:v>Radius or path size for cards that deal area damage or create a circular/linear effect. Spells use the effect radius when they deal damage/effect in an area.</x:v>
      </x:c>
      <x:c r="C7" s="14" t="str">
        <x:v>AesDragon hidden area-damage-radius table for non-spell attackers; spell effect radii from card stat pages.</x:v>
      </x:c>
    </x:row>
    <x:row r="8" ht="50" customHeight="1">
      <x:c r="A8" s="14" t="str">
        <x:v>N/A</x:v>
      </x:c>
      <x:c r="B8" s="14" t="str">
        <x:v>The field is not applicable to that card, not missing. Example: single-target troops have no splash radius; spells have no mass/collision.</x:v>
      </x:c>
      <x:c r="C8" s="14" t="str">
        <x:v>Use row source URLs for card-specific verification.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2" hidden="0" customWidth="1"/>
    <x:col min="3" max="3" width="80" hidden="0" customWidth="1"/>
  </x:cols>
  <x:sheetData>
    <x:row r="1" ht="42" customHeight="1">
      <x:c r="A1" s="8" t="str">
        <x:v>Source</x:v>
      </x:c>
      <x:c r="B1" s="8" t="str">
        <x:v>Use in workbook</x:v>
      </x:c>
      <x:c r="C1" s="8" t="str">
        <x:v>URL</x:v>
      </x:c>
    </x:row>
    <x:row r="2" ht="42" customHeight="1">
      <x:c r="A2" s="14" t="str">
        <x:v>Supercell 2026 anniversary season post</x:v>
      </x:c>
      <x:c r="B2" s="14" t="str">
        <x:v>Confirms Retro Royale tournament uses first 80 cards, capped at Level 11, with no Champions/Evolutions/Heroes.</x:v>
      </x:c>
      <x:c r="C2" s="14" t="str">
        <x:v>https://supercell.com/en/games/clashroyale/blog/news/new-season-10th-anniversary/</x:v>
      </x:c>
    </x:row>
    <x:row r="3" ht="42" customHeight="1">
      <x:c r="A3" s="14" t="str">
        <x:v>Clash Royale Wiki: Retro Royale</x:v>
      </x:c>
      <x:c r="B3" s="14" t="str">
        <x:v>Card-pool list used to enumerate the 80 card rows.</x:v>
      </x:c>
      <x:c r="C3" s="14" t="str">
        <x:v>https://clashroyale.fandom.com/wiki/Retro_Royale</x:v>
      </x:c>
    </x:row>
    <x:row r="4" ht="42" customHeight="1">
      <x:c r="A4" s="14" t="str">
        <x:v>DeckShop card stats</x:v>
      </x:c>
      <x:c r="B4" s="14" t="str">
        <x:v>Range/radius, speed categories, durations, and overview stat reference.</x:v>
      </x:c>
      <x:c r="C4" s="14" t="str">
        <x:v>https://www.deckshop.pro/card/stats</x:v>
      </x:c>
    </x:row>
    <x:row r="5" ht="42" customHeight="1">
      <x:c r="A5" s="14" t="str">
        <x:v>DeckShop hitpoints/damage</x:v>
      </x:c>
      <x:c r="B5" s="14" t="str">
        <x:v>Friendly level 11 HP/damage overview source; individual pages are included row-by-row.</x:v>
      </x:c>
      <x:c r="C5" s="14" t="str">
        <x:v>https://www.deckshop.pro/card/hitpoints</x:v>
      </x:c>
    </x:row>
    <x:row r="6" ht="42" customHeight="1">
      <x:c r="A6" s="14" t="str">
        <x:v>Deckmelon card pages</x:v>
      </x:c>
      <x:c r="B6" s="14" t="str">
        <x:v>Per-card Level 11 snippets where available; row-specific pages included in the main sheet.</x:v>
      </x:c>
      <x:c r="C6" s="14" t="str">
        <x:v>https://deckmelon.com/cards/</x:v>
      </x:c>
    </x:row>
    <x:row r="7" ht="42" customHeight="1">
      <x:c r="A7" s="14" t="str">
        <x:v>Fandom hidden stats: Mass</x:v>
      </x:c>
      <x:c r="B7" s="14" t="str">
        <x:v>Mass/weight definitions and table.</x:v>
      </x:c>
      <x:c r="C7" s="14" t="str">
        <x:v>https://clashroyale.fandom.com/wiki/User_blog:AesDragon/Hidden_card_stats:_Mass</x:v>
      </x:c>
    </x:row>
    <x:row r="8" ht="42" customHeight="1">
      <x:c r="A8" s="14" t="str">
        <x:v>Fandom hidden stats: Collision radius</x:v>
      </x:c>
      <x:c r="B8" s="14" t="str">
        <x:v>Collision radius definitions and table.</x:v>
      </x:c>
      <x:c r="C8" s="14" t="str">
        <x:v>https://clashroyale.fandom.com/wiki/User_blog:AesDragon/Hidden_card_stats:_Collision_radius</x:v>
      </x:c>
    </x:row>
    <x:row r="9" ht="42" customHeight="1">
      <x:c r="A9" s="14" t="str">
        <x:v>Fandom hidden stats: Sight range</x:v>
      </x:c>
      <x:c r="B9" s="14" t="str">
        <x:v>Sight range definitions and table.</x:v>
      </x:c>
      <x:c r="C9" s="14" t="str">
        <x:v>https://clashroyale.fandom.com/wiki/User_blog:AesDragon/Hidden_card_stats:_Sight_range</x:v>
      </x:c>
    </x:row>
    <x:row r="10" ht="42" customHeight="1">
      <x:c r="A10" s="14" t="str">
        <x:v>Fandom hidden stats: Projectile speed</x:v>
      </x:c>
      <x:c r="B10" s="14" t="str">
        <x:v>Projectile travel speed definitions and table.</x:v>
      </x:c>
      <x:c r="C10" s="14" t="str">
        <x:v>https://clashroyale.fandom.com/wiki/User_blog:AesDragon/Hidden_card_stats:_Projectile_travel_speeds</x:v>
      </x:c>
    </x:row>
    <x:row r="11" ht="42" customHeight="1">
      <x:c r="A11" s="14" t="str">
        <x:v>Fandom hidden stats: Area damage radius</x:v>
      </x:c>
      <x:c r="B11" s="14" t="str">
        <x:v>Splash/AoE radius table for non-spell cards; spell splash radii use effect radii from card stat pages.</x:v>
      </x:c>
      <x:c r="C11" s="14" t="str">
        <x:v>https://clashroyale.fandom.com/wiki/User_blog:AesDragon/Hidden_card_stats:_Area_damage_radius</x:v>
      </x:c>
    </x:row>
    <x:row r="12">
      <x:c r="A12" t="str">
        <x:v>smlbiobot cr-csv characters.csv</x:v>
      </x:c>
      <x:c r="B12" t="str">
        <x:v>Older raw hidden/game-logic data; used only as a legacy cross-check reference.</x:v>
      </x:c>
      <x:c r="C12" t="str">
        <x:v>https://github.com/smlbiobot/cr-csv/blob/master/assets/csv_logic/characters.csv</x:v>
      </x:c>
    </x:row>
    <x:row r="13">
      <x:c r="A13" t="str">
        <x:v>smlbiobot cr-csv projectiles.csv</x:v>
      </x:c>
      <x:c r="B13" t="str">
        <x:v>Older raw projectile data; used only as a legacy cross-check reference.</x:v>
      </x:c>
      <x:c r="C13" t="str">
        <x:v>https://github.com/smlbiobot/cr-csv/blob/master/assets/csv_logic/projectiles.csv</x:v>
      </x:c>
    </x:row>
  </x:sheetData>
  <x:pageMargins left="0.7" right="0.7" top="0.75" bottom="0.75" header="0.3" footer="0.3"/>
</x:worksheet>
</file>