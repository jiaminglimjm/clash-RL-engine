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Retro 80 Cards" sheetId="2" state="visible" r:id="rId2"/>
    <sheet xmlns:r="http://schemas.openxmlformats.org/officeDocument/2006/relationships" name="Hidden Stat Guide" sheetId="3" state="visible" r:id="rId3"/>
    <sheet xmlns:r="http://schemas.openxmlformats.org/officeDocument/2006/relationships" name="Sources" sheetId="4" state="visible" r:id="rId4"/>
  </sheets>
  <definedNames>
    <definedName name="_xlnm._FilterDatabase" localSheetId="1" hidden="1">'Retro 80 Cards'!$A$1:$AG$81</definedName>
  </definedNames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001F2D3D"/>
      <sz val="11"/>
    </font>
    <font>
      <name val="Carlito"/>
      <b val="1"/>
      <color rgb="001F2D3D"/>
      <sz val="16"/>
    </font>
    <font>
      <name val="Carlito"/>
      <b val="1"/>
      <color rgb="001F2937"/>
      <sz val="11"/>
    </font>
  </fonts>
  <fills count="4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E8F3EA"/>
      </patternFill>
    </fill>
  </fills>
  <borders count="2">
    <border/>
    <border/>
  </borders>
  <cellStyleXfs count="1">
    <xf numFmtId="0" fontId="0" fillId="0" borderId="1"/>
  </cellStyleXfs>
  <cellXfs count="47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  <xf numFmtId="0" fontId="1" fillId="0" borderId="1" pivotButton="0" quotePrefix="0" xfId="0"/>
    <xf numFmtId="0" fontId="1" fillId="0" borderId="0" pivotButton="0" quotePrefix="0" xfId="0"/>
    <xf numFmtId="0" fontId="1" fillId="0" borderId="1" pivotButton="0" quotePrefix="0" xfId="0"/>
    <xf numFmtId="0" fontId="1" fillId="0" borderId="0" applyAlignment="1" pivotButton="0" quotePrefix="0" xfId="0">
      <alignment wrapText="1"/>
    </xf>
    <xf numFmtId="0" fontId="1" fillId="0" borderId="1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0" pivotButton="0" quotePrefix="0" xfId="0"/>
    <xf numFmtId="0" fontId="2" fillId="0" borderId="1" pivotButton="0" quotePrefix="0" xfId="0"/>
    <xf numFmtId="0" fontId="2" fillId="0" borderId="0" pivotButton="0" quotePrefix="0" xfId="0"/>
    <xf numFmtId="0" fontId="2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1" fillId="0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1" fontId="0" fillId="0" borderId="0" applyAlignment="1" pivotButton="0" quotePrefix="0" xfId="0">
      <alignment horizontal="center" vertical="top" wrapText="1"/>
    </xf>
    <xf numFmtId="1" fontId="0" fillId="0" borderId="1" applyAlignment="1" pivotButton="0" quotePrefix="0" xfId="0">
      <alignment horizontal="center" vertical="top" wrapText="1"/>
    </xf>
    <xf numFmtId="1" fontId="0" fillId="0" borderId="0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" fontId="0" fillId="0" borderId="0" pivotButton="0" quotePrefix="0" xfId="0"/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1" fillId="3" borderId="0" applyAlignment="1" pivotButton="0" quotePrefix="0" xfId="0">
      <alignment vertical="center" wrapText="1"/>
    </xf>
    <xf numFmtId="0" fontId="3" fillId="3" borderId="0" pivotButton="0" quotePrefix="0" xfId="0"/>
    <xf numFmtId="0" fontId="3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center" vertical="top" wrapText="1"/>
    </xf>
    <xf numFmtId="2" fontId="0" fillId="0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1" displayName="Table1" ref="A1:AB81" headerRowCount="1">
  <tableColumns count="28">
    <tableColumn id="1" name="#"/>
    <tableColumn id="2" name="Card"/>
    <tableColumn id="3" name="Type"/>
    <tableColumn id="4" name="Rarity"/>
    <tableColumn id="5" name="Elixir"/>
    <tableColumn id="6" name="Count / spawned units"/>
    <tableColumn id="7" name="Targets"/>
    <tableColumn id="8" name="Movement speed category"/>
    <tableColumn id="9" name="Movement speed number"/>
    <tableColumn id="10" name="Range / radius (tiles)"/>
    <tableColumn id="11" name="Hit speed / cadence"/>
    <tableColumn id="12" name="Deploy / cast time"/>
    <tableColumn id="13" name="Lifetime / duration"/>
    <tableColumn id="14" name="Level 11 HP / health"/>
    <tableColumn id="15" name="Shield HP"/>
    <tableColumn id="16" name="Level 11 damage / effect"/>
    <tableColumn id="17" name="DPS / total damage note"/>
    <tableColumn id="18" name="Projectile / attack object"/>
    <tableColumn id="19" name="Projectile speed (tiles/min)"/>
    <tableColumn id="20" name="Mass / weight"/>
    <tableColumn id="21" name="Collision radius (tiles)"/>
    <tableColumn id="22" name="Sight range"/>
    <tableColumn id="23" name="Quirks / mechanics"/>
    <tableColumn id="24" name="Data coverage"/>
    <tableColumn id="25" name="Card stats source URL"/>
    <tableColumn id="26" name="Hidden stat source URL"/>
    <tableColumn id="27" name="Datamine source URL"/>
    <tableColumn id="2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8" customWidth="1" style="31" min="1" max="1"/>
    <col width="70" customWidth="1" style="31" min="2" max="2"/>
  </cols>
  <sheetData>
    <row r="1" ht="30" customHeight="1" s="31">
      <c r="A1" s="37" t="inlineStr">
        <is>
          <t>Retro Royale Card Stats Workbook</t>
        </is>
      </c>
      <c r="B1" s="12" t="str"/>
    </row>
    <row r="2" ht="48" customHeight="1" s="31">
      <c r="A2" s="38" t="inlineStr">
        <is>
          <t>Scope</t>
        </is>
      </c>
      <c r="B2" s="28" t="inlineStr">
        <is>
          <t>All 80 Retro Royale cards listed in the Retro Royale event pool. Tower Princess is not included in the 80 deck cards; it is a tower troop listed separately by the wiki.</t>
        </is>
      </c>
    </row>
    <row r="3" ht="48" customHeight="1" s="31">
      <c r="A3" s="38" t="inlineStr">
        <is>
          <t>Baseline</t>
        </is>
      </c>
      <c r="B3" s="28" t="inlineStr">
        <is>
          <t>Tournament/friendly Level 11 where numeric card stats are available from public stat pages.</t>
        </is>
      </c>
    </row>
    <row r="4" ht="48" customHeight="1" s="31">
      <c r="A4" s="38" t="inlineStr">
        <is>
          <t>Important caveat</t>
        </is>
      </c>
      <c r="B4" s="28" t="inlineStr">
        <is>
          <t>Hidden mass, collision radius, sight range, projectile speeds, splash/area radii, first attack/load time, and pushback are sourced from current Fandom card pages where available, then AesDragon hidden-stat tables and legacy datamine references as fallbacks.</t>
        </is>
      </c>
    </row>
    <row r="5" ht="48" customHeight="1" s="31">
      <c r="A5" s="38" t="inlineStr">
        <is>
          <t>What is included</t>
        </is>
      </c>
      <c r="B5" s="28" t="inlineStr">
        <is>
          <t>Type, rarity, elixir, unit count/spawns, targets, movement speed, range/radius, hit cadence, first attack/load time, deploy/cast time, duration/lifetime, Level 11 HP/damage/effects, projectile/attack object, projectile speed, mass/weight, collision radius, sight range, splash/AoE radius, pushback distance, quirks, and row-wise source URLs.</t>
        </is>
      </c>
    </row>
    <row r="6" ht="48" customHeight="1" s="31">
      <c r="A6" s="38" t="inlineStr">
        <is>
          <t>Useful filters</t>
        </is>
      </c>
      <c r="B6" s="28" t="inlineStr">
        <is>
          <t>Filter the main sheet by Type, Rarity, Data coverage, AoE/splash radius, source URLs, projectile/mass/collision/sight columns, or specific quirks.</t>
        </is>
      </c>
    </row>
    <row r="7" ht="48" customHeight="1" s="31">
      <c r="A7" s="38" t="inlineStr">
        <is>
          <t>Updated</t>
        </is>
      </c>
      <c r="B7" s="28" t="inlineStr">
        <is>
          <t>2026-06-23</t>
        </is>
      </c>
    </row>
    <row r="8" ht="48" customHeight="1" s="31">
      <c r="A8" s="38" t="inlineStr">
        <is>
          <t>Rows in main table</t>
        </is>
      </c>
      <c r="B8" s="39">
        <f>COUNTA('Retro 80 Cards'!B2:B81)</f>
        <v/>
      </c>
    </row>
    <row r="9" ht="48" customHeight="1" s="31">
      <c r="A9" s="38" t="inlineStr">
        <is>
          <t>Troops</t>
        </is>
      </c>
      <c r="B9" s="39">
        <f>COUNTIF('Retro 80 Cards'!C2:C81,"Troop")</f>
        <v/>
      </c>
    </row>
    <row r="10" ht="48" customHeight="1" s="31">
      <c r="A10" s="38" t="inlineStr">
        <is>
          <t>Spells</t>
        </is>
      </c>
      <c r="B10" s="39">
        <f>COUNTIF('Retro 80 Cards'!C2:C81,"Spell")</f>
        <v/>
      </c>
    </row>
    <row r="11" ht="48" customHeight="1" s="31">
      <c r="A11" s="38" t="inlineStr">
        <is>
          <t>Buildings</t>
        </is>
      </c>
      <c r="B11" s="39">
        <f>COUNTIF('Retro 80 Cards'!C2:C81,"Building")</f>
        <v/>
      </c>
    </row>
    <row r="12"/>
    <row r="13">
      <c r="A13" s="40" t="inlineStr">
        <is>
          <t>Quick counts</t>
        </is>
      </c>
      <c r="B13" s="40" t="inlineStr">
        <is>
          <t>Formula</t>
        </is>
      </c>
    </row>
    <row r="14">
      <c r="A14" s="41" t="inlineStr">
        <is>
          <t>Common</t>
        </is>
      </c>
      <c r="B14" s="39">
        <f>COUNTIF('Retro 80 Cards'!D2:D81,"Common")</f>
        <v/>
      </c>
    </row>
    <row r="15">
      <c r="A15" s="41" t="inlineStr">
        <is>
          <t>Rare</t>
        </is>
      </c>
      <c r="B15" s="39">
        <f>COUNTIF('Retro 80 Cards'!D2:D81,"Rare")</f>
        <v/>
      </c>
    </row>
    <row r="16">
      <c r="A16" s="41" t="inlineStr">
        <is>
          <t>Epic</t>
        </is>
      </c>
      <c r="B16" s="39">
        <f>COUNTIF('Retro 80 Cards'!D2:D81,"Epic")</f>
        <v/>
      </c>
    </row>
    <row r="17">
      <c r="A17" s="41" t="inlineStr">
        <is>
          <t>Legendary</t>
        </is>
      </c>
      <c r="B17" s="39">
        <f>COUNTIF('Retro 80 Cards'!D2:D81,"Legendary")</f>
        <v/>
      </c>
    </row>
    <row r="18">
      <c r="A18" s="28" t="inlineStr">
        <is>
          <t>Rows cross-checked against hidden-stat tables</t>
        </is>
      </c>
      <c r="B18" s="42" t="n">
        <v>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style="31" min="1" max="1"/>
    <col width="22" customWidth="1" style="31" min="2" max="2"/>
    <col width="11" customWidth="1" style="31" min="3" max="3"/>
    <col width="11" customWidth="1" style="31" min="4" max="4"/>
    <col width="8" customWidth="1" style="31" min="5" max="5"/>
    <col width="18" customWidth="1" style="31" min="6" max="6"/>
    <col width="15" customWidth="1" style="31" min="7" max="7"/>
    <col width="22" customWidth="1" style="31" min="8" max="8"/>
    <col width="13" customWidth="1" style="31" min="9" max="9"/>
    <col width="20" customWidth="1" style="31" min="10" max="10"/>
    <col width="18" customWidth="1" style="31" min="11" max="11"/>
    <col width="15" customWidth="1" style="31" min="12" max="12"/>
    <col width="16" customWidth="1" style="31" min="13" max="13"/>
    <col width="28" customWidth="1" style="31" min="14" max="14"/>
    <col width="18" customWidth="1" style="31" min="15" max="15"/>
    <col width="34" customWidth="1" style="31" min="16" max="16"/>
    <col width="24" customWidth="1" style="31" min="17" max="17"/>
    <col width="28" customWidth="1" style="31" min="18" max="18"/>
    <col width="18" customWidth="1" style="31" min="19" max="19"/>
    <col width="15" customWidth="1" style="31" min="20" max="20"/>
    <col width="18" customWidth="1" style="31" min="21" max="21"/>
    <col width="22" customWidth="1" style="31" min="22" max="22"/>
    <col width="42" customWidth="1" style="31" min="23" max="23"/>
    <col width="48" customWidth="1" style="31" min="24" max="24"/>
    <col width="42" customWidth="1" style="31" min="25" max="25"/>
    <col width="42" customWidth="1" style="31" min="26" max="26"/>
    <col width="42" customWidth="1" style="31" min="27" max="27"/>
    <col width="38" customWidth="1" style="31" min="28" max="28"/>
    <col width="20" customWidth="1" style="31" min="29" max="29"/>
    <col width="34" customWidth="1" style="31" min="30" max="30"/>
    <col width="22" customWidth="1" style="31" min="31" max="31"/>
    <col width="22" customWidth="1" style="31" min="32" max="32"/>
    <col width="26" customWidth="1" style="31" min="33" max="33"/>
  </cols>
  <sheetData>
    <row r="1" ht="48" customHeight="1" s="31">
      <c r="A1" s="36" t="inlineStr">
        <is>
          <t>#</t>
        </is>
      </c>
      <c r="B1" s="36" t="inlineStr">
        <is>
          <t>Card</t>
        </is>
      </c>
      <c r="C1" s="36" t="inlineStr">
        <is>
          <t>Type</t>
        </is>
      </c>
      <c r="D1" s="36" t="inlineStr">
        <is>
          <t>Rarity</t>
        </is>
      </c>
      <c r="E1" s="36" t="inlineStr">
        <is>
          <t>Elixir</t>
        </is>
      </c>
      <c r="F1" s="36" t="inlineStr">
        <is>
          <t>Count / spawned units</t>
        </is>
      </c>
      <c r="G1" s="36" t="inlineStr">
        <is>
          <t>Targets</t>
        </is>
      </c>
      <c r="H1" s="36" t="inlineStr">
        <is>
          <t>Movement speed category</t>
        </is>
      </c>
      <c r="I1" s="36" t="inlineStr">
        <is>
          <t>Movement speed number</t>
        </is>
      </c>
      <c r="J1" s="36" t="inlineStr">
        <is>
          <t>Range / radius (tiles)</t>
        </is>
      </c>
      <c r="K1" s="36" t="inlineStr">
        <is>
          <t>Hit speed / cadence</t>
        </is>
      </c>
      <c r="L1" s="36" t="inlineStr">
        <is>
          <t>Deploy / cast time</t>
        </is>
      </c>
      <c r="M1" s="36" t="inlineStr">
        <is>
          <t>Lifetime / duration</t>
        </is>
      </c>
      <c r="N1" s="36" t="inlineStr">
        <is>
          <t>Level 11 HP / health</t>
        </is>
      </c>
      <c r="O1" s="36" t="inlineStr">
        <is>
          <t>Shield HP</t>
        </is>
      </c>
      <c r="P1" s="36" t="inlineStr">
        <is>
          <t>Level 11 damage / effect</t>
        </is>
      </c>
      <c r="Q1" s="36" t="inlineStr">
        <is>
          <t>DPS / total damage note</t>
        </is>
      </c>
      <c r="R1" s="36" t="inlineStr">
        <is>
          <t>Projectile / attack object</t>
        </is>
      </c>
      <c r="S1" s="36" t="inlineStr">
        <is>
          <t>Projectile speed (tiles/min)</t>
        </is>
      </c>
      <c r="T1" s="36" t="inlineStr">
        <is>
          <t>Mass / weight</t>
        </is>
      </c>
      <c r="U1" s="36" t="inlineStr">
        <is>
          <t>Collision radius (tiles)</t>
        </is>
      </c>
      <c r="V1" s="36" t="inlineStr">
        <is>
          <t>Sight range</t>
        </is>
      </c>
      <c r="W1" s="36" t="inlineStr">
        <is>
          <t>Quirks / mechanics</t>
        </is>
      </c>
      <c r="X1" s="36" t="inlineStr">
        <is>
          <t>Data coverage</t>
        </is>
      </c>
      <c r="Y1" s="36" t="inlineStr">
        <is>
          <t>Card stats source URL</t>
        </is>
      </c>
      <c r="Z1" s="36" t="inlineStr">
        <is>
          <t>Hidden stat source URL</t>
        </is>
      </c>
      <c r="AA1" s="36" t="inlineStr">
        <is>
          <t>Datamine source URL</t>
        </is>
      </c>
      <c r="AB1" s="36" t="inlineStr">
        <is>
          <t>Notes</t>
        </is>
      </c>
      <c r="AC1" s="43" t="inlineStr">
        <is>
          <t>Splash / AoE radius (tiles)</t>
        </is>
      </c>
      <c r="AD1" s="43" t="inlineStr">
        <is>
          <t>Splash / AoE type / source note</t>
        </is>
      </c>
      <c r="AE1" s="44" t="inlineStr">
        <is>
          <t>First attack speed / retarget time (sec)</t>
        </is>
      </c>
      <c r="AF1" s="44" t="inlineStr">
        <is>
          <t>Load time (sec)</t>
        </is>
      </c>
      <c r="AG1" s="44" t="inlineStr">
        <is>
          <t>Pushback distance (tiles)</t>
        </is>
      </c>
    </row>
    <row r="2" ht="36" customHeight="1" s="31">
      <c r="A2" s="45" t="n">
        <v>1</v>
      </c>
      <c r="B2" s="22" t="inlineStr">
        <is>
          <t>Minions</t>
        </is>
      </c>
      <c r="C2" s="22" t="inlineStr">
        <is>
          <t>Troop</t>
        </is>
      </c>
      <c r="D2" s="22" t="inlineStr">
        <is>
          <t>Common</t>
        </is>
      </c>
      <c r="E2" s="45" t="n">
        <v>3</v>
      </c>
      <c r="F2" s="28" t="inlineStr">
        <is>
          <t>3</t>
        </is>
      </c>
      <c r="G2" s="28" t="inlineStr">
        <is>
          <t>Air &amp; ground</t>
        </is>
      </c>
      <c r="H2" s="28" t="inlineStr">
        <is>
          <t>Fast</t>
        </is>
      </c>
      <c r="I2" s="39" t="n">
        <v>90</v>
      </c>
      <c r="J2" s="28" t="inlineStr">
        <is>
          <t>2.5</t>
        </is>
      </c>
      <c r="K2" s="28" t="n">
        <v>1.2</v>
      </c>
      <c r="L2" s="28" t="inlineStr">
        <is>
          <t>1.0</t>
        </is>
      </c>
      <c r="M2" s="28" t="inlineStr">
        <is>
          <t>N/A</t>
        </is>
      </c>
      <c r="N2" s="28" t="inlineStr">
        <is>
          <t>230</t>
        </is>
      </c>
      <c r="O2" s="28" t="n"/>
      <c r="P2" s="28" t="inlineStr">
        <is>
          <t>107 per Minion</t>
        </is>
      </c>
      <c r="Q2" s="28" t="inlineStr">
        <is>
          <t>See damage/effect note</t>
        </is>
      </c>
      <c r="R2" s="28" t="inlineStr">
        <is>
          <t>Attack projectile</t>
        </is>
      </c>
      <c r="S2" s="28" t="inlineStr">
        <is>
          <t>1000 attack</t>
        </is>
      </c>
      <c r="T2" s="28" t="n">
        <v>2</v>
      </c>
      <c r="U2" s="28" t="n">
        <v>0.5</v>
      </c>
      <c r="V2" s="28" t="n">
        <v>5.5</v>
      </c>
      <c r="W2" s="28" t="inlineStr">
        <is>
          <t>Flying swarm; formerly ranged-like attack/projectile data exists.</t>
        </is>
      </c>
      <c r="X2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2" s="28" t="inlineStr">
        <is>
          <t>https://www.deckshop.pro/card/stats
https://www.deckshop.pro/card/hitpoints
https://deckmelon.com/cards/minions
https://clashroyale.fandom.com/wiki/Minions</t>
        </is>
      </c>
      <c r="Z2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2" s="28" t="inlineStr">
        <is>
          <t>https://github.com/smlbiobot/cr-csv/blob/master/assets/csv_logic/characters.csv
https://github.com/smlbiobot/cr-csv/blob/master/assets/csv_logic/projectiles.csv</t>
        </is>
      </c>
      <c r="AB2" s="28" t="inlineStr">
        <is>
          <t>Current L11 from Fandom/Deck Shop; current hit speed is 1.2s and first hit is 0.5s.</t>
        </is>
      </c>
      <c r="AC2" s="41" t="inlineStr">
        <is>
          <t>N/A</t>
        </is>
      </c>
      <c r="AD2" s="28" t="inlineStr">
        <is>
          <t>Single-target / no splash or AoE</t>
        </is>
      </c>
      <c r="AE2" s="46" t="n">
        <v>0.5</v>
      </c>
      <c r="AF2" s="46" t="n">
        <v>0.7</v>
      </c>
      <c r="AG2" s="46" t="inlineStr">
        <is>
          <t>N/A</t>
        </is>
      </c>
    </row>
    <row r="3" ht="36" customHeight="1" s="31">
      <c r="A3" s="45" t="n">
        <v>2</v>
      </c>
      <c r="B3" s="22" t="inlineStr">
        <is>
          <t>Archers</t>
        </is>
      </c>
      <c r="C3" s="22" t="inlineStr">
        <is>
          <t>Troop</t>
        </is>
      </c>
      <c r="D3" s="22" t="inlineStr">
        <is>
          <t>Common</t>
        </is>
      </c>
      <c r="E3" s="45" t="n">
        <v>3</v>
      </c>
      <c r="F3" s="28" t="inlineStr">
        <is>
          <t>2</t>
        </is>
      </c>
      <c r="G3" s="28" t="inlineStr">
        <is>
          <t>Air &amp; ground</t>
        </is>
      </c>
      <c r="H3" s="28" t="inlineStr">
        <is>
          <t>Medium</t>
        </is>
      </c>
      <c r="I3" s="39" t="n">
        <v>60</v>
      </c>
      <c r="J3" s="28" t="inlineStr">
        <is>
          <t>5.0</t>
        </is>
      </c>
      <c r="K3" s="28" t="n">
        <v>0.9</v>
      </c>
      <c r="L3" s="28" t="inlineStr">
        <is>
          <t>1.0</t>
        </is>
      </c>
      <c r="M3" s="28" t="inlineStr">
        <is>
          <t>N/A</t>
        </is>
      </c>
      <c r="N3" s="28" t="inlineStr">
        <is>
          <t>304</t>
        </is>
      </c>
      <c r="O3" s="28" t="n"/>
      <c r="P3" s="28" t="inlineStr">
        <is>
          <t>112 per Archer</t>
        </is>
      </c>
      <c r="Q3" s="28" t="inlineStr">
        <is>
          <t>See damage/effect note</t>
        </is>
      </c>
      <c r="R3" s="28" t="inlineStr">
        <is>
          <t>ArcherArrow</t>
        </is>
      </c>
      <c r="S3" s="28" t="inlineStr">
        <is>
          <t>600 attack</t>
        </is>
      </c>
      <c r="T3" s="28" t="n">
        <v>3</v>
      </c>
      <c r="U3" s="28" t="n">
        <v>0.5</v>
      </c>
      <c r="V3" s="28" t="n">
        <v>5.5</v>
      </c>
      <c r="W3" s="28" t="inlineStr">
        <is>
          <t>Two ranged units; can split at deployment.</t>
        </is>
      </c>
      <c r="X3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3" s="28" t="inlineStr">
        <is>
          <t>https://www.deckshop.pro/card/stats
https://www.deckshop.pro/card/hitpoints
https://deckmelon.com/cards/archers
https://clashroyale.fandom.com/wiki/Archers</t>
        </is>
      </c>
      <c r="Z3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3" s="28" t="inlineStr">
        <is>
          <t>https://github.com/smlbiobot/cr-csv/blob/master/assets/csv_logic/characters.csv
https://github.com/smlbiobot/cr-csv/blob/master/assets/csv_logic/projectiles.csv</t>
        </is>
      </c>
      <c r="AB3" s="28" t="inlineStr">
        <is>
          <t>Current L11 from Fandom/Deck Shop; first attack updated to current 0.5s value after 2023 balance change.</t>
        </is>
      </c>
      <c r="AC3" s="41" t="inlineStr">
        <is>
          <t>N/A</t>
        </is>
      </c>
      <c r="AD3" s="28" t="inlineStr">
        <is>
          <t>Single-target / no splash or AoE</t>
        </is>
      </c>
      <c r="AE3" s="46" t="n">
        <v>0.5</v>
      </c>
      <c r="AF3" s="46" t="n">
        <v>0.4</v>
      </c>
      <c r="AG3" s="46" t="inlineStr">
        <is>
          <t>N/A</t>
        </is>
      </c>
    </row>
    <row r="4" ht="36" customHeight="1" s="31">
      <c r="A4" s="45" t="n">
        <v>3</v>
      </c>
      <c r="B4" s="22" t="inlineStr">
        <is>
          <t>Knight</t>
        </is>
      </c>
      <c r="C4" s="22" t="inlineStr">
        <is>
          <t>Troop</t>
        </is>
      </c>
      <c r="D4" s="22" t="inlineStr">
        <is>
          <t>Common</t>
        </is>
      </c>
      <c r="E4" s="45" t="n">
        <v>3</v>
      </c>
      <c r="F4" s="28" t="inlineStr">
        <is>
          <t>1</t>
        </is>
      </c>
      <c r="G4" s="28" t="inlineStr">
        <is>
          <t>Ground</t>
        </is>
      </c>
      <c r="H4" s="28" t="inlineStr">
        <is>
          <t>Medium</t>
        </is>
      </c>
      <c r="I4" s="39" t="n">
        <v>60</v>
      </c>
      <c r="J4" s="28" t="inlineStr">
        <is>
          <t>1.2</t>
        </is>
      </c>
      <c r="K4" s="28" t="n">
        <v>1.2</v>
      </c>
      <c r="L4" s="28" t="inlineStr">
        <is>
          <t>1.0</t>
        </is>
      </c>
      <c r="M4" s="28" t="inlineStr">
        <is>
          <t>N/A</t>
        </is>
      </c>
      <c r="N4" s="28" t="inlineStr">
        <is>
          <t>1,766</t>
        </is>
      </c>
      <c r="O4" s="28" t="n"/>
      <c r="P4" s="28" t="inlineStr">
        <is>
          <t>202</t>
        </is>
      </c>
      <c r="Q4" s="28" t="inlineStr">
        <is>
          <t>See damage/effect note</t>
        </is>
      </c>
      <c r="R4" s="28" t="inlineStr">
        <is>
          <t>Melee / no projectile</t>
        </is>
      </c>
      <c r="S4" s="28" t="inlineStr">
        <is>
          <t>—</t>
        </is>
      </c>
      <c r="T4" s="28" t="n">
        <v>6</v>
      </c>
      <c r="U4" s="28" t="n">
        <v>0.5</v>
      </c>
      <c r="V4" s="28" t="n">
        <v>5.5</v>
      </c>
      <c r="W4" s="28" t="inlineStr">
        <is>
          <t>Low-cost mini-tank; no projectile.</t>
        </is>
      </c>
      <c r="X4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4" s="28" t="inlineStr">
        <is>
          <t>https://www.deckshop.pro/card/stats
https://www.deckshop.pro/card/hitpoints
https://deckmelon.com/cards/knight
https://clashroyale.fandom.com/wiki/Knight</t>
        </is>
      </c>
      <c r="Z4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4" s="28" t="inlineStr">
        <is>
          <t>https://github.com/smlbiobot/cr-csv/blob/master/assets/csv_logic/characters.csv
https://github.com/smlbiobot/cr-csv/blob/master/assets/csv_logic/projectiles.csv</t>
        </is>
      </c>
      <c r="AB4" s="28" t="inlineStr">
        <is>
          <t>Current L11 from Deckmelon/Deck Shop; mini-tank melee.</t>
        </is>
      </c>
      <c r="AC4" s="41" t="inlineStr">
        <is>
          <t>N/A</t>
        </is>
      </c>
      <c r="AD4" s="28" t="inlineStr">
        <is>
          <t>Single-target / no splash or AoE</t>
        </is>
      </c>
      <c r="AE4" s="46" t="n">
        <v>0.5</v>
      </c>
      <c r="AF4" s="46" t="n">
        <v>0.7</v>
      </c>
      <c r="AG4" s="46" t="inlineStr">
        <is>
          <t>N/A</t>
        </is>
      </c>
    </row>
    <row r="5" ht="36" customHeight="1" s="31">
      <c r="A5" s="45" t="n">
        <v>4</v>
      </c>
      <c r="B5" s="22" t="inlineStr">
        <is>
          <t>Spear Goblins</t>
        </is>
      </c>
      <c r="C5" s="22" t="inlineStr">
        <is>
          <t>Troop</t>
        </is>
      </c>
      <c r="D5" s="22" t="inlineStr">
        <is>
          <t>Common</t>
        </is>
      </c>
      <c r="E5" s="45" t="n">
        <v>2</v>
      </c>
      <c r="F5" s="28" t="inlineStr">
        <is>
          <t>3</t>
        </is>
      </c>
      <c r="G5" s="28" t="inlineStr">
        <is>
          <t>Air &amp; ground</t>
        </is>
      </c>
      <c r="H5" s="28" t="inlineStr">
        <is>
          <t>Very Fast</t>
        </is>
      </c>
      <c r="I5" s="39" t="n">
        <v>120</v>
      </c>
      <c r="J5" s="28" t="inlineStr">
        <is>
          <t>5.0</t>
        </is>
      </c>
      <c r="K5" s="28" t="n">
        <v>1.7</v>
      </c>
      <c r="L5" s="28" t="inlineStr">
        <is>
          <t>1.0</t>
        </is>
      </c>
      <c r="M5" s="28" t="inlineStr">
        <is>
          <t>N/A</t>
        </is>
      </c>
      <c r="N5" s="28" t="inlineStr">
        <is>
          <t>133</t>
        </is>
      </c>
      <c r="O5" s="28" t="n"/>
      <c r="P5" s="28" t="inlineStr">
        <is>
          <t>81 per Spear Goblin</t>
        </is>
      </c>
      <c r="Q5" s="28" t="inlineStr">
        <is>
          <t>See damage/effect note</t>
        </is>
      </c>
      <c r="R5" s="28" t="inlineStr">
        <is>
          <t>SpearGoblinProjectile</t>
        </is>
      </c>
      <c r="S5" s="28" t="inlineStr">
        <is>
          <t>500 attack</t>
        </is>
      </c>
      <c r="T5" s="28" t="n">
        <v>1</v>
      </c>
      <c r="U5" s="28" t="n">
        <v>0.5</v>
      </c>
      <c r="V5" s="28" t="n">
        <v>5.5</v>
      </c>
      <c r="W5" s="28" t="inlineStr">
        <is>
          <t>Three very-fast ranged goblins; fragile chip and air coverage.</t>
        </is>
      </c>
      <c r="X5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5" s="28" t="inlineStr">
        <is>
          <t>https://www.deckshop.pro/card/stats
https://www.deckshop.pro/card/hitpoints
https://deckmelon.com/cards/spear-goblins
https://clashroyale.fandom.com/wiki/Spear_Goblins</t>
        </is>
      </c>
      <c r="Z5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5" s="28" t="inlineStr">
        <is>
          <t>https://github.com/smlbiobot/cr-csv/blob/master/assets/csv_logic/characters.csv
https://github.com/smlbiobot/cr-csv/blob/master/assets/csv_logic/projectiles.csv</t>
        </is>
      </c>
      <c r="AB5" s="28" t="inlineStr">
        <is>
          <t>Current L11 from Deckmelon.</t>
        </is>
      </c>
      <c r="AC5" s="41" t="inlineStr">
        <is>
          <t>N/A</t>
        </is>
      </c>
      <c r="AD5" s="28" t="inlineStr">
        <is>
          <t>Single-target / no splash or AoE</t>
        </is>
      </c>
      <c r="AE5" s="46" t="n">
        <v>0.5</v>
      </c>
      <c r="AF5" s="46" t="n">
        <v>1.2</v>
      </c>
      <c r="AG5" s="46" t="inlineStr">
        <is>
          <t>N/A</t>
        </is>
      </c>
    </row>
    <row r="6" ht="36" customHeight="1" s="31">
      <c r="A6" s="45" t="n">
        <v>5</v>
      </c>
      <c r="B6" s="22" t="inlineStr">
        <is>
          <t>Goblins</t>
        </is>
      </c>
      <c r="C6" s="22" t="inlineStr">
        <is>
          <t>Troop</t>
        </is>
      </c>
      <c r="D6" s="22" t="inlineStr">
        <is>
          <t>Common</t>
        </is>
      </c>
      <c r="E6" s="45" t="n">
        <v>2</v>
      </c>
      <c r="F6" s="28" t="inlineStr">
        <is>
          <t>4</t>
        </is>
      </c>
      <c r="G6" s="28" t="inlineStr">
        <is>
          <t>Ground</t>
        </is>
      </c>
      <c r="H6" s="28" t="inlineStr">
        <is>
          <t>Very Fast</t>
        </is>
      </c>
      <c r="I6" s="39" t="n">
        <v>120</v>
      </c>
      <c r="J6" s="28" t="inlineStr">
        <is>
          <t>0.5</t>
        </is>
      </c>
      <c r="K6" s="28" t="n">
        <v>1.1</v>
      </c>
      <c r="L6" s="28" t="inlineStr">
        <is>
          <t>1.0</t>
        </is>
      </c>
      <c r="M6" s="28" t="inlineStr">
        <is>
          <t>N/A</t>
        </is>
      </c>
      <c r="N6" s="28" t="inlineStr">
        <is>
          <t>202</t>
        </is>
      </c>
      <c r="O6" s="28" t="n"/>
      <c r="P6" s="28" t="inlineStr">
        <is>
          <t>120 per Goblin</t>
        </is>
      </c>
      <c r="Q6" s="28" t="inlineStr">
        <is>
          <t>See damage/effect note</t>
        </is>
      </c>
      <c r="R6" s="28" t="inlineStr">
        <is>
          <t>Melee / no projectile</t>
        </is>
      </c>
      <c r="S6" s="28" t="inlineStr">
        <is>
          <t>—</t>
        </is>
      </c>
      <c r="T6" s="28" t="n">
        <v>2</v>
      </c>
      <c r="U6" s="28" t="n">
        <v>0.5</v>
      </c>
      <c r="V6" s="28" t="n">
        <v>5.5</v>
      </c>
      <c r="W6" s="28" t="inlineStr">
        <is>
          <t>Four very-fast melee goblins; high DPS per elixir.</t>
        </is>
      </c>
      <c r="X6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6" s="28" t="inlineStr">
        <is>
          <t>https://www.deckshop.pro/card/stats
https://www.deckshop.pro/card/hitpoints
https://deckmelon.com/cards/goblins
https://clashroyale.fandom.com/wiki/Goblins</t>
        </is>
      </c>
      <c r="Z6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6" s="28" t="inlineStr">
        <is>
          <t>https://github.com/smlbiobot/cr-csv/blob/master/assets/csv_logic/characters.csv
https://github.com/smlbiobot/cr-csv/blob/master/assets/csv_logic/projectiles.csv</t>
        </is>
      </c>
      <c r="AB6" s="28" t="inlineStr">
        <is>
          <t>Current L11 from Deck Shop; melee swarm.</t>
        </is>
      </c>
      <c r="AC6" s="41" t="inlineStr">
        <is>
          <t>N/A</t>
        </is>
      </c>
      <c r="AD6" s="28" t="inlineStr">
        <is>
          <t>Single-target / no splash or AoE</t>
        </is>
      </c>
      <c r="AE6" s="46" t="n">
        <v>0.2</v>
      </c>
      <c r="AF6" s="46" t="n">
        <v>0.9</v>
      </c>
      <c r="AG6" s="46" t="inlineStr">
        <is>
          <t>N/A</t>
        </is>
      </c>
    </row>
    <row r="7" ht="36" customHeight="1" s="31">
      <c r="A7" s="45" t="n">
        <v>6</v>
      </c>
      <c r="B7" s="22" t="inlineStr">
        <is>
          <t>Bomber</t>
        </is>
      </c>
      <c r="C7" s="22" t="inlineStr">
        <is>
          <t>Troop</t>
        </is>
      </c>
      <c r="D7" s="22" t="inlineStr">
        <is>
          <t>Common</t>
        </is>
      </c>
      <c r="E7" s="45" t="n">
        <v>2</v>
      </c>
      <c r="F7" s="28" t="inlineStr">
        <is>
          <t>1</t>
        </is>
      </c>
      <c r="G7" s="28" t="inlineStr">
        <is>
          <t>Ground</t>
        </is>
      </c>
      <c r="H7" s="28" t="inlineStr">
        <is>
          <t>Medium</t>
        </is>
      </c>
      <c r="I7" s="39" t="n">
        <v>60</v>
      </c>
      <c r="J7" s="28" t="inlineStr">
        <is>
          <t>4.5</t>
        </is>
      </c>
      <c r="K7" s="28" t="n">
        <v>1.8</v>
      </c>
      <c r="L7" s="28" t="inlineStr">
        <is>
          <t>1.0</t>
        </is>
      </c>
      <c r="M7" s="28" t="inlineStr">
        <is>
          <t>N/A</t>
        </is>
      </c>
      <c r="N7" s="28" t="inlineStr">
        <is>
          <t>304</t>
        </is>
      </c>
      <c r="O7" s="28" t="n"/>
      <c r="P7" s="28" t="inlineStr">
        <is>
          <t>225 area</t>
        </is>
      </c>
      <c r="Q7" s="28" t="inlineStr">
        <is>
          <t>See damage/effect note</t>
        </is>
      </c>
      <c r="R7" s="28" t="inlineStr">
        <is>
          <t>BombSkeletonProjectile</t>
        </is>
      </c>
      <c r="S7" s="28" t="inlineStr">
        <is>
          <t>400 attack</t>
        </is>
      </c>
      <c r="T7" s="28" t="n">
        <v>4</v>
      </c>
      <c r="U7" s="28" t="n">
        <v>0.5</v>
      </c>
      <c r="V7" s="28" t="n">
        <v>5.5</v>
      </c>
      <c r="W7" s="28" t="inlineStr">
        <is>
          <t>Ground-only splash projectile; cannot hit air.</t>
        </is>
      </c>
      <c r="X7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7" s="28" t="inlineStr">
        <is>
          <t>https://www.deckshop.pro/card/stats
https://www.deckshop.pro/card/hitpoints
https://deckmelon.com/cards/bomber
https://clashroyale.fandom.com/wiki/Bomber</t>
        </is>
      </c>
      <c r="Z7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7" s="28" t="inlineStr">
        <is>
          <t>https://github.com/smlbiobot/cr-csv/blob/master/assets/csv_logic/characters.csv
https://github.com/smlbiobot/cr-csv/blob/master/assets/csv_logic/projectiles.csv</t>
        </is>
      </c>
      <c r="AB7" s="28" t="inlineStr">
        <is>
          <t>Current L11 from Deck Shop; ground splash.</t>
        </is>
      </c>
      <c r="AC7" s="41" t="inlineStr">
        <is>
          <t>1.5</t>
        </is>
      </c>
      <c r="AD7" s="41" t="inlineStr">
        <is>
          <t>Non-homing ground splash</t>
        </is>
      </c>
      <c r="AE7" s="46" t="n">
        <v>0.2</v>
      </c>
      <c r="AF7" s="46" t="n">
        <v>1.6</v>
      </c>
      <c r="AG7" s="46" t="inlineStr">
        <is>
          <t>N/A</t>
        </is>
      </c>
    </row>
    <row r="8" ht="36" customHeight="1" s="31">
      <c r="A8" s="45" t="n">
        <v>7</v>
      </c>
      <c r="B8" s="22" t="inlineStr">
        <is>
          <t>Skeletons</t>
        </is>
      </c>
      <c r="C8" s="22" t="inlineStr">
        <is>
          <t>Troop</t>
        </is>
      </c>
      <c r="D8" s="22" t="inlineStr">
        <is>
          <t>Common</t>
        </is>
      </c>
      <c r="E8" s="45" t="n">
        <v>1</v>
      </c>
      <c r="F8" s="28" t="inlineStr">
        <is>
          <t>3</t>
        </is>
      </c>
      <c r="G8" s="28" t="inlineStr">
        <is>
          <t>Ground</t>
        </is>
      </c>
      <c r="H8" s="28" t="inlineStr">
        <is>
          <t>Fast</t>
        </is>
      </c>
      <c r="I8" s="39" t="n">
        <v>90</v>
      </c>
      <c r="J8" s="28" t="inlineStr">
        <is>
          <t>0.5</t>
        </is>
      </c>
      <c r="K8" s="28" t="n">
        <v>1</v>
      </c>
      <c r="L8" s="28" t="inlineStr">
        <is>
          <t>1.0</t>
        </is>
      </c>
      <c r="M8" s="28" t="inlineStr">
        <is>
          <t>N/A</t>
        </is>
      </c>
      <c r="N8" s="28" t="inlineStr">
        <is>
          <t>81</t>
        </is>
      </c>
      <c r="O8" s="28" t="n"/>
      <c r="P8" s="28" t="inlineStr">
        <is>
          <t>81 per Skeleton</t>
        </is>
      </c>
      <c r="Q8" s="28" t="inlineStr">
        <is>
          <t>See damage/effect note</t>
        </is>
      </c>
      <c r="R8" s="28" t="inlineStr">
        <is>
          <t>Melee / no projectile</t>
        </is>
      </c>
      <c r="S8" s="28" t="inlineStr">
        <is>
          <t>—</t>
        </is>
      </c>
      <c r="T8" s="28" t="n">
        <v>1</v>
      </c>
      <c r="U8" s="28" t="n">
        <v>0.5</v>
      </c>
      <c r="V8" s="28" t="n">
        <v>5.5</v>
      </c>
      <c r="W8" s="28" t="inlineStr">
        <is>
          <t>Three 1-elixir skeletons; cycle/distraction card.</t>
        </is>
      </c>
      <c r="X8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8" s="28" t="inlineStr">
        <is>
          <t>https://www.deckshop.pro/card/stats
https://www.deckshop.pro/card/hitpoints
https://deckmelon.com/cards/skeletons
https://clashroyale.fandom.com/wiki/Skeletons</t>
        </is>
      </c>
      <c r="Z8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8" s="28" t="inlineStr">
        <is>
          <t>https://github.com/smlbiobot/cr-csv/blob/master/assets/csv_logic/characters.csv
https://github.com/smlbiobot/cr-csv/blob/master/assets/csv_logic/projectiles.csv</t>
        </is>
      </c>
      <c r="AB8" s="28" t="inlineStr">
        <is>
          <t>Current L11 from Deck Shop; cheap swarm.</t>
        </is>
      </c>
      <c r="AC8" s="41" t="inlineStr">
        <is>
          <t>N/A</t>
        </is>
      </c>
      <c r="AD8" s="28" t="inlineStr">
        <is>
          <t>Single-target / no splash or AoE</t>
        </is>
      </c>
      <c r="AE8" s="46" t="n">
        <v>0.5</v>
      </c>
      <c r="AF8" s="46" t="n">
        <v>0.5</v>
      </c>
      <c r="AG8" s="46" t="inlineStr">
        <is>
          <t>N/A</t>
        </is>
      </c>
    </row>
    <row r="9" ht="36" customHeight="1" s="31">
      <c r="A9" s="45" t="n">
        <v>8</v>
      </c>
      <c r="B9" s="22" t="inlineStr">
        <is>
          <t>Barbarians</t>
        </is>
      </c>
      <c r="C9" s="22" t="inlineStr">
        <is>
          <t>Troop</t>
        </is>
      </c>
      <c r="D9" s="22" t="inlineStr">
        <is>
          <t>Common</t>
        </is>
      </c>
      <c r="E9" s="45" t="n">
        <v>5</v>
      </c>
      <c r="F9" s="28" t="inlineStr">
        <is>
          <t>5</t>
        </is>
      </c>
      <c r="G9" s="28" t="inlineStr">
        <is>
          <t>Ground</t>
        </is>
      </c>
      <c r="H9" s="28" t="inlineStr">
        <is>
          <t>Medium</t>
        </is>
      </c>
      <c r="I9" s="39" t="n">
        <v>60</v>
      </c>
      <c r="J9" s="28" t="inlineStr">
        <is>
          <t>0.7</t>
        </is>
      </c>
      <c r="K9" s="28" t="n">
        <v>1.4</v>
      </c>
      <c r="L9" s="28" t="inlineStr">
        <is>
          <t>1.0</t>
        </is>
      </c>
      <c r="M9" s="28" t="inlineStr">
        <is>
          <t>N/A</t>
        </is>
      </c>
      <c r="N9" s="28" t="inlineStr">
        <is>
          <t>670</t>
        </is>
      </c>
      <c r="O9" s="28" t="n"/>
      <c r="P9" s="28" t="inlineStr">
        <is>
          <t>192 per Barbarian</t>
        </is>
      </c>
      <c r="Q9" s="28" t="inlineStr">
        <is>
          <t>See damage/effect note</t>
        </is>
      </c>
      <c r="R9" s="28" t="inlineStr">
        <is>
          <t>Melee / no projectile</t>
        </is>
      </c>
      <c r="S9" s="28" t="inlineStr">
        <is>
          <t>—</t>
        </is>
      </c>
      <c r="T9" s="28" t="n">
        <v>4</v>
      </c>
      <c r="U9" s="28" t="n">
        <v>0.5</v>
      </c>
      <c r="V9" s="28" t="n">
        <v>5.5</v>
      </c>
      <c r="W9" s="28" t="inlineStr">
        <is>
          <t>Five melee units; strong ground DPS but spell-vulnerable.</t>
        </is>
      </c>
      <c r="X9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9" s="28" t="inlineStr">
        <is>
          <t>https://www.deckshop.pro/card/stats
https://www.deckshop.pro/card/hitpoints
https://deckmelon.com/cards/barbarians
https://clashroyale.fandom.com/wiki/Barbarians</t>
        </is>
      </c>
      <c r="Z9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9" s="28" t="inlineStr">
        <is>
          <t>https://github.com/smlbiobot/cr-csv/blob/master/assets/csv_logic/characters.csv
https://github.com/smlbiobot/cr-csv/blob/master/assets/csv_logic/projectiles.csv</t>
        </is>
      </c>
      <c r="AB9" s="28" t="inlineStr">
        <is>
          <t>Current L11 via Barbarian Hut/Barbarians source; 5 units.</t>
        </is>
      </c>
      <c r="AC9" s="41" t="inlineStr">
        <is>
          <t>N/A</t>
        </is>
      </c>
      <c r="AD9" s="28" t="inlineStr">
        <is>
          <t>Single-target / no splash or AoE</t>
        </is>
      </c>
      <c r="AE9" s="46" t="n">
        <v>0.4</v>
      </c>
      <c r="AF9" s="46" t="n">
        <v>1</v>
      </c>
      <c r="AG9" s="46" t="inlineStr">
        <is>
          <t>N/A</t>
        </is>
      </c>
    </row>
    <row r="10" ht="36" customHeight="1" s="31">
      <c r="A10" s="45" t="n">
        <v>9</v>
      </c>
      <c r="B10" s="22" t="inlineStr">
        <is>
          <t>Fire Spirit</t>
        </is>
      </c>
      <c r="C10" s="22" t="inlineStr">
        <is>
          <t>Troop</t>
        </is>
      </c>
      <c r="D10" s="22" t="inlineStr">
        <is>
          <t>Common</t>
        </is>
      </c>
      <c r="E10" s="45" t="n">
        <v>1</v>
      </c>
      <c r="F10" s="28" t="inlineStr">
        <is>
          <t>1</t>
        </is>
      </c>
      <c r="G10" s="28" t="inlineStr">
        <is>
          <t>Air &amp; ground</t>
        </is>
      </c>
      <c r="H10" s="28" t="inlineStr">
        <is>
          <t>Very Fast</t>
        </is>
      </c>
      <c r="I10" s="39" t="n">
        <v>120</v>
      </c>
      <c r="J10" s="28" t="inlineStr">
        <is>
          <t>2.5</t>
        </is>
      </c>
      <c r="K10" s="28" t="inlineStr">
        <is>
          <t>Kamikaze</t>
        </is>
      </c>
      <c r="L10" s="28" t="inlineStr">
        <is>
          <t>1.0</t>
        </is>
      </c>
      <c r="M10" s="28" t="inlineStr">
        <is>
          <t>N/A</t>
        </is>
      </c>
      <c r="N10" s="28" t="inlineStr">
        <is>
          <t>230</t>
        </is>
      </c>
      <c r="O10" s="28" t="n"/>
      <c r="P10" s="28" t="inlineStr">
        <is>
          <t>207 area</t>
        </is>
      </c>
      <c r="Q10" s="28" t="inlineStr">
        <is>
          <t>See damage/effect note</t>
        </is>
      </c>
      <c r="R10" s="28" t="inlineStr">
        <is>
          <t>Attack projectile</t>
        </is>
      </c>
      <c r="S10" s="28" t="inlineStr">
        <is>
          <t>400 attack</t>
        </is>
      </c>
      <c r="T10" s="28" t="n">
        <v>1</v>
      </c>
      <c r="U10" s="28" t="n">
        <v>0.4</v>
      </c>
      <c r="V10" s="28" t="n">
        <v>5.5</v>
      </c>
      <c r="W10" s="28" t="inlineStr">
        <is>
          <t>Jumps, self-destructs, area damage, can hit air.</t>
        </is>
      </c>
      <c r="X10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10" s="28" t="inlineStr">
        <is>
          <t>https://www.deckshop.pro/card/stats
https://www.deckshop.pro/card/hitpoints
https://deckmelon.com/cards/fire-spirit
https://clashroyale.fandom.com/wiki/Fire_Spirit</t>
        </is>
      </c>
      <c r="Z10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10" s="28" t="inlineStr">
        <is>
          <t>https://github.com/smlbiobot/cr-csv/blob/master/assets/csv_logic/characters.csv
https://github.com/smlbiobot/cr-csv/blob/master/assets/csv_logic/projectiles.csv</t>
        </is>
      </c>
      <c r="AB10" s="28" t="inlineStr">
        <is>
          <t>Current L11 from Deck Shop/Furnace source; jump/splash.</t>
        </is>
      </c>
      <c r="AC10" s="41" t="inlineStr">
        <is>
          <t>1.7</t>
        </is>
      </c>
      <c r="AD10" s="41" t="inlineStr">
        <is>
          <t>Homing explosion</t>
        </is>
      </c>
      <c r="AE10" s="46" t="n">
        <v>0.2</v>
      </c>
      <c r="AF10" s="46" t="n">
        <v>0.1</v>
      </c>
      <c r="AG10" s="46" t="inlineStr">
        <is>
          <t>N/A</t>
        </is>
      </c>
    </row>
    <row r="11" ht="36" customHeight="1" s="31">
      <c r="A11" s="45" t="n">
        <v>10</v>
      </c>
      <c r="B11" s="22" t="inlineStr">
        <is>
          <t>Bats</t>
        </is>
      </c>
      <c r="C11" s="22" t="inlineStr">
        <is>
          <t>Troop</t>
        </is>
      </c>
      <c r="D11" s="22" t="inlineStr">
        <is>
          <t>Common</t>
        </is>
      </c>
      <c r="E11" s="45" t="n">
        <v>2</v>
      </c>
      <c r="F11" s="28" t="inlineStr">
        <is>
          <t>5</t>
        </is>
      </c>
      <c r="G11" s="28" t="inlineStr">
        <is>
          <t>Air &amp; ground</t>
        </is>
      </c>
      <c r="H11" s="28" t="inlineStr">
        <is>
          <t>Very Fast</t>
        </is>
      </c>
      <c r="I11" s="39" t="n">
        <v>120</v>
      </c>
      <c r="J11" s="28" t="inlineStr">
        <is>
          <t>1.2</t>
        </is>
      </c>
      <c r="K11" s="28" t="n">
        <v>1.3</v>
      </c>
      <c r="L11" s="28" t="inlineStr">
        <is>
          <t>1.0</t>
        </is>
      </c>
      <c r="M11" s="28" t="inlineStr">
        <is>
          <t>N/A</t>
        </is>
      </c>
      <c r="N11" s="28" t="inlineStr">
        <is>
          <t>81</t>
        </is>
      </c>
      <c r="O11" s="28" t="n"/>
      <c r="P11" s="28" t="inlineStr">
        <is>
          <t>81 per Bat</t>
        </is>
      </c>
      <c r="Q11" s="28" t="inlineStr">
        <is>
          <t>See damage/effect note</t>
        </is>
      </c>
      <c r="R11" s="28" t="inlineStr">
        <is>
          <t>Melee / no projectile</t>
        </is>
      </c>
      <c r="S11" s="28" t="inlineStr">
        <is>
          <t>—</t>
        </is>
      </c>
      <c r="T11" s="28" t="n">
        <v>1</v>
      </c>
      <c r="U11" s="28" t="n">
        <v>0.5</v>
      </c>
      <c r="V11" s="28" t="n">
        <v>5.5</v>
      </c>
      <c r="W11" s="28" t="inlineStr">
        <is>
          <t>Five flying melee swarm units; very fragile.</t>
        </is>
      </c>
      <c r="X11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11" s="28" t="inlineStr">
        <is>
          <t>https://www.deckshop.pro/card/stats
https://www.deckshop.pro/card/hitpoints
https://deckmelon.com/cards/bats
https://clashroyale.fandom.com/wiki/Bats</t>
        </is>
      </c>
      <c r="Z11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11" s="28" t="inlineStr">
        <is>
          <t>https://github.com/smlbiobot/cr-csv/blob/master/assets/csv_logic/characters.csv
https://github.com/smlbiobot/cr-csv/blob/master/assets/csv_logic/projectiles.csv</t>
        </is>
      </c>
      <c r="AB11" s="28" t="inlineStr">
        <is>
          <t>Current L11 from Deckmelon.</t>
        </is>
      </c>
      <c r="AC11" s="41" t="inlineStr">
        <is>
          <t>N/A</t>
        </is>
      </c>
      <c r="AD11" s="28" t="inlineStr">
        <is>
          <t>Single-target / no splash or AoE</t>
        </is>
      </c>
      <c r="AE11" s="46" t="n">
        <v>0.6</v>
      </c>
      <c r="AF11" s="46" t="n">
        <v>0.7</v>
      </c>
      <c r="AG11" s="46" t="inlineStr">
        <is>
          <t>N/A</t>
        </is>
      </c>
    </row>
    <row r="12" ht="36" customHeight="1" s="31">
      <c r="A12" s="45" t="n">
        <v>11</v>
      </c>
      <c r="B12" s="22" t="inlineStr">
        <is>
          <t>Royal Giant</t>
        </is>
      </c>
      <c r="C12" s="22" t="inlineStr">
        <is>
          <t>Troop</t>
        </is>
      </c>
      <c r="D12" s="22" t="inlineStr">
        <is>
          <t>Common</t>
        </is>
      </c>
      <c r="E12" s="45" t="n">
        <v>6</v>
      </c>
      <c r="F12" s="28" t="inlineStr">
        <is>
          <t>1</t>
        </is>
      </c>
      <c r="G12" s="28" t="inlineStr">
        <is>
          <t>Buildings</t>
        </is>
      </c>
      <c r="H12" s="28" t="inlineStr">
        <is>
          <t>Slow</t>
        </is>
      </c>
      <c r="I12" s="39" t="n">
        <v>45</v>
      </c>
      <c r="J12" s="28" t="inlineStr">
        <is>
          <t>5.0</t>
        </is>
      </c>
      <c r="K12" s="28" t="n">
        <v>1.7</v>
      </c>
      <c r="L12" s="28" t="inlineStr">
        <is>
          <t>1.0</t>
        </is>
      </c>
      <c r="M12" s="28" t="inlineStr">
        <is>
          <t>N/A</t>
        </is>
      </c>
      <c r="N12" s="28" t="inlineStr">
        <is>
          <t>3,164</t>
        </is>
      </c>
      <c r="O12" s="28" t="n"/>
      <c r="P12" s="28" t="inlineStr">
        <is>
          <t>307</t>
        </is>
      </c>
      <c r="Q12" s="28" t="inlineStr">
        <is>
          <t>See damage/effect note</t>
        </is>
      </c>
      <c r="R12" s="28" t="inlineStr">
        <is>
          <t>RoyalGiantProjectile</t>
        </is>
      </c>
      <c r="S12" s="28" t="inlineStr">
        <is>
          <t>1000 attack</t>
        </is>
      </c>
      <c r="T12" s="28" t="n">
        <v>18</v>
      </c>
      <c r="U12" s="28" t="n">
        <v>0.75</v>
      </c>
      <c r="V12" s="28" t="n">
        <v>7.5</v>
      </c>
      <c r="W12" s="28" t="inlineStr">
        <is>
          <t>Ranged building-targeting win condition.</t>
        </is>
      </c>
      <c r="X12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12" s="28" t="inlineStr">
        <is>
          <t>https://www.deckshop.pro/card/stats
https://www.deckshop.pro/card/hitpoints
https://deckmelon.com/cards/royal-giant
https://clashroyale.fandom.com/wiki/Royal_Giant</t>
        </is>
      </c>
      <c r="Z12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12" s="28" t="inlineStr">
        <is>
          <t>https://github.com/smlbiobot/cr-csv/blob/master/assets/csv_logic/characters.csv
https://github.com/smlbiobot/cr-csv/blob/master/assets/csv_logic/projectiles.csv</t>
        </is>
      </c>
      <c r="AB12" s="28" t="inlineStr">
        <is>
          <t>Current L11 from Deckmelon/Deck Shop.</t>
        </is>
      </c>
      <c r="AC12" s="41" t="inlineStr">
        <is>
          <t>N/A</t>
        </is>
      </c>
      <c r="AD12" s="28" t="inlineStr">
        <is>
          <t>Single-target / no splash or AoE</t>
        </is>
      </c>
      <c r="AE12" s="46" t="n">
        <v>0.7</v>
      </c>
      <c r="AF12" s="46" t="n">
        <v>1</v>
      </c>
      <c r="AG12" s="46" t="inlineStr">
        <is>
          <t>N/A</t>
        </is>
      </c>
    </row>
    <row r="13" ht="36" customHeight="1" s="31">
      <c r="A13" s="45" t="n">
        <v>12</v>
      </c>
      <c r="B13" s="22" t="inlineStr">
        <is>
          <t>Ice Spirit</t>
        </is>
      </c>
      <c r="C13" s="22" t="inlineStr">
        <is>
          <t>Troop</t>
        </is>
      </c>
      <c r="D13" s="22" t="inlineStr">
        <is>
          <t>Common</t>
        </is>
      </c>
      <c r="E13" s="45" t="n">
        <v>1</v>
      </c>
      <c r="F13" s="28" t="inlineStr">
        <is>
          <t>1</t>
        </is>
      </c>
      <c r="G13" s="28" t="inlineStr">
        <is>
          <t>Air &amp; ground</t>
        </is>
      </c>
      <c r="H13" s="28" t="inlineStr">
        <is>
          <t>Very Fast</t>
        </is>
      </c>
      <c r="I13" s="39" t="n">
        <v>120</v>
      </c>
      <c r="J13" s="28" t="inlineStr">
        <is>
          <t>2.5</t>
        </is>
      </c>
      <c r="K13" s="28" t="inlineStr">
        <is>
          <t>Kamikaze</t>
        </is>
      </c>
      <c r="L13" s="28" t="inlineStr">
        <is>
          <t>1.0</t>
        </is>
      </c>
      <c r="M13" s="28" t="inlineStr">
        <is>
          <t>N/A</t>
        </is>
      </c>
      <c r="N13" s="28" t="inlineStr">
        <is>
          <t>230</t>
        </is>
      </c>
      <c r="O13" s="28" t="n"/>
      <c r="P13" s="28" t="inlineStr">
        <is>
          <t>110 area + freeze</t>
        </is>
      </c>
      <c r="Q13" s="28" t="inlineStr">
        <is>
          <t>See damage/effect note</t>
        </is>
      </c>
      <c r="R13" s="28" t="inlineStr">
        <is>
          <t>Attack projectile</t>
        </is>
      </c>
      <c r="S13" s="28" t="inlineStr">
        <is>
          <t>400 attack</t>
        </is>
      </c>
      <c r="T13" s="28" t="n">
        <v>1</v>
      </c>
      <c r="U13" s="28" t="n">
        <v>0.4</v>
      </c>
      <c r="V13" s="28" t="n">
        <v>5.5</v>
      </c>
      <c r="W13" s="28" t="inlineStr">
        <is>
          <t>Jumps, self-destructs, freezes/stuns in small area.</t>
        </is>
      </c>
      <c r="X13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13" s="28" t="inlineStr">
        <is>
          <t>https://www.deckshop.pro/card/stats
https://www.deckshop.pro/card/hitpoints
https://deckmelon.com/cards/ice-spirit
https://clashroyale.fandom.com/wiki/Ice_Spirit</t>
        </is>
      </c>
      <c r="Z13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13" s="28" t="inlineStr">
        <is>
          <t>https://github.com/smlbiobot/cr-csv/blob/master/assets/csv_logic/characters.csv
https://github.com/smlbiobot/cr-csv/blob/master/assets/csv_logic/projectiles.csv</t>
        </is>
      </c>
      <c r="AB13" s="28" t="inlineStr">
        <is>
          <t>Current L11 from Deck Shop; freeze duration 1.1s.</t>
        </is>
      </c>
      <c r="AC13" s="41" t="inlineStr">
        <is>
          <t>1.5</t>
        </is>
      </c>
      <c r="AD13" s="41" t="inlineStr">
        <is>
          <t>Homing freeze explosion</t>
        </is>
      </c>
      <c r="AE13" s="46" t="n">
        <v>0.2</v>
      </c>
      <c r="AF13" s="46" t="n">
        <v>0.1</v>
      </c>
      <c r="AG13" s="46" t="inlineStr">
        <is>
          <t>N/A</t>
        </is>
      </c>
    </row>
    <row r="14" ht="36" customHeight="1" s="31">
      <c r="A14" s="45" t="n">
        <v>13</v>
      </c>
      <c r="B14" s="22" t="inlineStr">
        <is>
          <t>Skeleton Barrel</t>
        </is>
      </c>
      <c r="C14" s="22" t="inlineStr">
        <is>
          <t>Troop</t>
        </is>
      </c>
      <c r="D14" s="22" t="inlineStr">
        <is>
          <t>Common</t>
        </is>
      </c>
      <c r="E14" s="45" t="n">
        <v>3</v>
      </c>
      <c r="F14" s="28" t="inlineStr">
        <is>
          <t>1 barrel + Skeletons on drop</t>
        </is>
      </c>
      <c r="G14" s="28" t="inlineStr">
        <is>
          <t>Buildings while airborne; Skeletons target ground after drop</t>
        </is>
      </c>
      <c r="H14" s="28" t="inlineStr">
        <is>
          <t>Fast</t>
        </is>
      </c>
      <c r="I14" s="39" t="n">
        <v>90</v>
      </c>
      <c r="J14" s="28" t="inlineStr">
        <is>
          <t>0.35 death/drop; barrel impact</t>
        </is>
      </c>
      <c r="K14" s="28" t="inlineStr">
        <is>
          <t>Death/drop then Skeleton attacks</t>
        </is>
      </c>
      <c r="L14" s="28" t="inlineStr">
        <is>
          <t>1.0</t>
        </is>
      </c>
      <c r="M14" s="28" t="inlineStr">
        <is>
          <t>N/A</t>
        </is>
      </c>
      <c r="N14" s="28" t="inlineStr">
        <is>
          <t>532</t>
        </is>
      </c>
      <c r="O14" s="28" t="n"/>
      <c r="P14" s="28" t="inlineStr">
        <is>
          <t>145 death damage + spawns Skeletons</t>
        </is>
      </c>
      <c r="Q14" s="28" t="inlineStr">
        <is>
          <t>See damage/effect note</t>
        </is>
      </c>
      <c r="R14" s="28" t="inlineStr">
        <is>
          <t>Death/drop barrel + Skeleton spawns</t>
        </is>
      </c>
      <c r="S14" s="28" t="inlineStr">
        <is>
          <t>—</t>
        </is>
      </c>
      <c r="T14" s="28" t="n">
        <v>7</v>
      </c>
      <c r="U14" s="28" t="n">
        <v>0.5</v>
      </c>
      <c r="V14" s="28" t="n">
        <v>7.7</v>
      </c>
      <c r="W14" s="28" t="inlineStr">
        <is>
          <t>Flying building-targeter; drops Skeletons on death/arrival.</t>
        </is>
      </c>
      <c r="X14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14" s="28" t="inlineStr">
        <is>
          <t>https://www.deckshop.pro/card/stats
https://www.deckshop.pro/card/hitpoints
https://deckmelon.com/cards/skeleton-barrel
https://clashroyale.fandom.com/wiki/Skeleton_Barrel
https://decksforcr.com/card/detail/skeleton-barrel/</t>
        </is>
      </c>
      <c r="Z14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14" s="28" t="inlineStr">
        <is>
          <t>https://github.com/smlbiobot/cr-csv/blob/master/assets/csv_logic/characters.csv
https://github.com/smlbiobot/cr-csv/blob/master/assets/csv_logic/projectiles.csv</t>
        </is>
      </c>
      <c r="AB14" s="28" t="inlineStr">
        <is>
          <t>Updated: L11 HP/death damage verified; splash radius added.</t>
        </is>
      </c>
      <c r="AC14" s="41" t="inlineStr">
        <is>
          <t>2.0</t>
        </is>
      </c>
      <c r="AD14" s="41" t="inlineStr">
        <is>
          <t>360° death/drop AoE</t>
        </is>
      </c>
      <c r="AE14" s="29" t="inlineStr">
        <is>
          <t>0.1 barrel / 0.5 spawned Skeletons</t>
        </is>
      </c>
      <c r="AF14" s="29" t="inlineStr">
        <is>
          <t>0.2 barrel / 0.5 spawned Skeletons</t>
        </is>
      </c>
      <c r="AG14" s="29" t="inlineStr">
        <is>
          <t>1.0 death/drop</t>
        </is>
      </c>
    </row>
    <row r="15" ht="36" customHeight="1" s="31">
      <c r="A15" s="45" t="n">
        <v>14</v>
      </c>
      <c r="B15" s="22" t="inlineStr">
        <is>
          <t>Goblin Gang</t>
        </is>
      </c>
      <c r="C15" s="22" t="inlineStr">
        <is>
          <t>Troop</t>
        </is>
      </c>
      <c r="D15" s="22" t="inlineStr">
        <is>
          <t>Common</t>
        </is>
      </c>
      <c r="E15" s="45" t="n">
        <v>3</v>
      </c>
      <c r="F15" s="28" t="inlineStr">
        <is>
          <t>3 Goblins + 3 Spear Goblins</t>
        </is>
      </c>
      <c r="G15" s="28" t="inlineStr">
        <is>
          <t>Ground + air &amp; ground mix</t>
        </is>
      </c>
      <c r="H15" s="28" t="inlineStr">
        <is>
          <t>N/A</t>
        </is>
      </c>
      <c r="I15" s="39" t="inlineStr">
        <is>
          <t>N/A</t>
        </is>
      </c>
      <c r="J15" s="28" t="inlineStr">
        <is>
          <t>0.5/5.0</t>
        </is>
      </c>
      <c r="K15" s="28" t="inlineStr">
        <is>
          <t>1.1 Goblins / 1.7 Spear Goblins</t>
        </is>
      </c>
      <c r="L15" s="28" t="inlineStr">
        <is>
          <t>1.0</t>
        </is>
      </c>
      <c r="M15" s="28" t="inlineStr">
        <is>
          <t>N/A</t>
        </is>
      </c>
      <c r="N15" s="28" t="inlineStr">
        <is>
          <t>202 Goblin / 133 Spear Goblin</t>
        </is>
      </c>
      <c r="O15" s="28" t="n"/>
      <c r="P15" s="28" t="inlineStr">
        <is>
          <t>120 Goblin / 81 Spear Goblin</t>
        </is>
      </c>
      <c r="Q15" s="28" t="inlineStr">
        <is>
          <t>See damage/effect note</t>
        </is>
      </c>
      <c r="R15" s="28" t="inlineStr">
        <is>
          <t>Melee / no projectile</t>
        </is>
      </c>
      <c r="S15" s="28" t="inlineStr">
        <is>
          <t>—</t>
        </is>
      </c>
      <c r="T15" s="28" t="inlineStr">
        <is>
          <t>2 per spawned unit</t>
        </is>
      </c>
      <c r="U15" s="28" t="n">
        <v>0.5</v>
      </c>
      <c r="V15" s="28" t="n">
        <v>5.5</v>
      </c>
      <c r="W15" s="28" t="inlineStr">
        <is>
          <t>Mixed melee/ranged swarm; combines Goblins and Spear Goblins.</t>
        </is>
      </c>
      <c r="X15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15" s="28" t="inlineStr">
        <is>
          <t>https://www.deckshop.pro/card/stats
https://www.deckshop.pro/card/hitpoints
https://deckmelon.com/cards/goblin-gang
https://clashroyale.fandom.com/wiki/Goblin_Gang</t>
        </is>
      </c>
      <c r="Z15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15" s="28" t="inlineStr">
        <is>
          <t>https://github.com/smlbiobot/cr-csv/blob/master/assets/csv_logic/characters.csv
https://github.com/smlbiobot/cr-csv/blob/master/assets/csv_logic/projectiles.csv</t>
        </is>
      </c>
      <c r="AB15" s="28" t="inlineStr">
        <is>
          <t>Current L11 from Deckmelon.</t>
        </is>
      </c>
      <c r="AC15" s="41" t="inlineStr">
        <is>
          <t>N/A</t>
        </is>
      </c>
      <c r="AD15" s="28" t="inlineStr">
        <is>
          <t>Single-target / no splash or AoE</t>
        </is>
      </c>
      <c r="AE15" s="29" t="inlineStr">
        <is>
          <t>0.2 Goblins / 0.5 Spear Goblins</t>
        </is>
      </c>
      <c r="AF15" s="29" t="inlineStr">
        <is>
          <t>0.9 Goblins / 1.2 Spear Goblins</t>
        </is>
      </c>
      <c r="AG15" s="29" t="inlineStr">
        <is>
          <t>N/A</t>
        </is>
      </c>
    </row>
    <row r="16" ht="36" customHeight="1" s="31">
      <c r="A16" s="45" t="n">
        <v>15</v>
      </c>
      <c r="B16" s="22" t="inlineStr">
        <is>
          <t>Elite Barbarians</t>
        </is>
      </c>
      <c r="C16" s="22" t="inlineStr">
        <is>
          <t>Troop</t>
        </is>
      </c>
      <c r="D16" s="22" t="inlineStr">
        <is>
          <t>Common</t>
        </is>
      </c>
      <c r="E16" s="45" t="n">
        <v>6</v>
      </c>
      <c r="F16" s="28" t="inlineStr">
        <is>
          <t>2</t>
        </is>
      </c>
      <c r="G16" s="28" t="inlineStr">
        <is>
          <t>Ground</t>
        </is>
      </c>
      <c r="H16" s="28" t="inlineStr">
        <is>
          <t>Fast</t>
        </is>
      </c>
      <c r="I16" s="39" t="n">
        <v>90</v>
      </c>
      <c r="J16" s="28" t="inlineStr">
        <is>
          <t>0.8</t>
        </is>
      </c>
      <c r="K16" s="28" t="n">
        <v>1.4</v>
      </c>
      <c r="L16" s="28" t="inlineStr">
        <is>
          <t>1.0</t>
        </is>
      </c>
      <c r="M16" s="28" t="inlineStr">
        <is>
          <t>N/A</t>
        </is>
      </c>
      <c r="N16" s="28" t="inlineStr">
        <is>
          <t>1,341 per Elite Barbarian</t>
        </is>
      </c>
      <c r="O16" s="28" t="n"/>
      <c r="P16" s="28" t="inlineStr">
        <is>
          <t>384 per Elite Barbarian</t>
        </is>
      </c>
      <c r="Q16" s="28" t="inlineStr">
        <is>
          <t>See damage/effect note</t>
        </is>
      </c>
      <c r="R16" s="28" t="inlineStr">
        <is>
          <t>Melee / no projectile</t>
        </is>
      </c>
      <c r="S16" s="28" t="inlineStr">
        <is>
          <t>—</t>
        </is>
      </c>
      <c r="T16" s="28" t="n">
        <v>4</v>
      </c>
      <c r="U16" s="28" t="n">
        <v>0.5</v>
      </c>
      <c r="V16" s="28" t="n">
        <v>5.5</v>
      </c>
      <c r="W16" s="28" t="inlineStr">
        <is>
          <t>Two fast melee bruisers; bridge pressure.</t>
        </is>
      </c>
      <c r="X16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16" s="28" t="inlineStr">
        <is>
          <t>https://www.deckshop.pro/card/stats
https://www.deckshop.pro/card/hitpoints
https://deckmelon.com/cards/elite-barbarians
https://clashroyale.fandom.com/wiki/Elite_Barbarians
https://www.deckshop.pro/card/detail/elite-barbarians</t>
        </is>
      </c>
      <c r="Z16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16" s="28" t="inlineStr">
        <is>
          <t>https://github.com/smlbiobot/cr-csv/blob/master/assets/csv_logic/characters.csv
https://github.com/smlbiobot/cr-csv/blob/master/assets/csv_logic/projectiles.csv</t>
        </is>
      </c>
      <c r="AB16" s="28" t="inlineStr">
        <is>
          <t>Updated: L11 HP/damage verified.</t>
        </is>
      </c>
      <c r="AC16" s="41" t="inlineStr">
        <is>
          <t>N/A</t>
        </is>
      </c>
      <c r="AD16" s="28" t="inlineStr">
        <is>
          <t>Single-target / no splash or AoE</t>
        </is>
      </c>
      <c r="AE16" s="46" t="n">
        <v>0.5</v>
      </c>
      <c r="AF16" s="46" t="n">
        <v>1</v>
      </c>
      <c r="AG16" s="46" t="inlineStr">
        <is>
          <t>N/A</t>
        </is>
      </c>
    </row>
    <row r="17" ht="36" customHeight="1" s="31">
      <c r="A17" s="45" t="n">
        <v>16</v>
      </c>
      <c r="B17" s="22" t="inlineStr">
        <is>
          <t>Minion Horde</t>
        </is>
      </c>
      <c r="C17" s="22" t="inlineStr">
        <is>
          <t>Troop</t>
        </is>
      </c>
      <c r="D17" s="22" t="inlineStr">
        <is>
          <t>Common</t>
        </is>
      </c>
      <c r="E17" s="45" t="n">
        <v>5</v>
      </c>
      <c r="F17" s="28" t="inlineStr">
        <is>
          <t>6</t>
        </is>
      </c>
      <c r="G17" s="28" t="inlineStr">
        <is>
          <t>Air &amp; ground</t>
        </is>
      </c>
      <c r="H17" s="28" t="inlineStr">
        <is>
          <t>N/A</t>
        </is>
      </c>
      <c r="I17" s="39" t="inlineStr">
        <is>
          <t>N/A</t>
        </is>
      </c>
      <c r="J17" s="28" t="inlineStr">
        <is>
          <t>2.5</t>
        </is>
      </c>
      <c r="K17" s="28" t="n">
        <v>1</v>
      </c>
      <c r="L17" s="28" t="inlineStr">
        <is>
          <t>1.0</t>
        </is>
      </c>
      <c r="M17" s="28" t="inlineStr">
        <is>
          <t>N/A</t>
        </is>
      </c>
      <c r="N17" s="28" t="inlineStr">
        <is>
          <t>230 per Minion</t>
        </is>
      </c>
      <c r="O17" s="28" t="n"/>
      <c r="P17" s="28" t="inlineStr">
        <is>
          <t>107 per Minion</t>
        </is>
      </c>
      <c r="Q17" s="28" t="inlineStr">
        <is>
          <t>See damage/effect note</t>
        </is>
      </c>
      <c r="R17" s="28" t="inlineStr">
        <is>
          <t>Attack projectile</t>
        </is>
      </c>
      <c r="S17" s="28" t="inlineStr">
        <is>
          <t>1000 attack</t>
        </is>
      </c>
      <c r="T17" s="28" t="inlineStr">
        <is>
          <t>2 per spawned unit</t>
        </is>
      </c>
      <c r="U17" s="28" t="n">
        <v>0.5</v>
      </c>
      <c r="V17" s="28" t="n">
        <v>5.5</v>
      </c>
      <c r="W17" s="28" t="inlineStr">
        <is>
          <t>Six Minions; high air DPS but spell-vulnerable.</t>
        </is>
      </c>
      <c r="X17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17" s="28" t="inlineStr">
        <is>
          <t>https://www.deckshop.pro/card/stats
https://www.deckshop.pro/card/hitpoints
https://deckmelon.com/cards/minion-horde
https://clashroyale.fandom.com/wiki/Minion_Horde</t>
        </is>
      </c>
      <c r="Z17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17" s="28" t="inlineStr">
        <is>
          <t>https://github.com/smlbiobot/cr-csv/blob/master/assets/csv_logic/characters.csv
https://github.com/smlbiobot/cr-csv/blob/master/assets/csv_logic/projectiles.csv</t>
        </is>
      </c>
      <c r="AB17" s="28" t="inlineStr">
        <is>
          <t>Same unit stats as Minions; 6 total.</t>
        </is>
      </c>
      <c r="AC17" s="41" t="inlineStr">
        <is>
          <t>N/A</t>
        </is>
      </c>
      <c r="AD17" s="28" t="inlineStr">
        <is>
          <t>Single-target / no splash or AoE</t>
        </is>
      </c>
      <c r="AE17" s="46" t="n">
        <v>0.5</v>
      </c>
      <c r="AF17" s="46" t="n">
        <v>0.7</v>
      </c>
      <c r="AG17" s="46" t="inlineStr">
        <is>
          <t>N/A</t>
        </is>
      </c>
    </row>
    <row r="18" ht="36" customHeight="1" s="31">
      <c r="A18" s="45" t="n">
        <v>17</v>
      </c>
      <c r="B18" s="22" t="inlineStr">
        <is>
          <t>Mini P.E.K.K.A</t>
        </is>
      </c>
      <c r="C18" s="22" t="inlineStr">
        <is>
          <t>Troop</t>
        </is>
      </c>
      <c r="D18" s="22" t="inlineStr">
        <is>
          <t>Rare</t>
        </is>
      </c>
      <c r="E18" s="45" t="n">
        <v>4</v>
      </c>
      <c r="F18" s="28" t="inlineStr">
        <is>
          <t>1</t>
        </is>
      </c>
      <c r="G18" s="28" t="inlineStr">
        <is>
          <t>Ground</t>
        </is>
      </c>
      <c r="H18" s="28" t="inlineStr">
        <is>
          <t>Fast</t>
        </is>
      </c>
      <c r="I18" s="39" t="n">
        <v>90</v>
      </c>
      <c r="J18" s="28" t="inlineStr">
        <is>
          <t>0.8</t>
        </is>
      </c>
      <c r="K18" s="28" t="n">
        <v>1.6</v>
      </c>
      <c r="L18" s="28" t="inlineStr">
        <is>
          <t>1.0</t>
        </is>
      </c>
      <c r="M18" s="28" t="inlineStr">
        <is>
          <t>N/A</t>
        </is>
      </c>
      <c r="N18" s="28" t="inlineStr">
        <is>
          <t>1,433</t>
        </is>
      </c>
      <c r="O18" s="28" t="n"/>
      <c r="P18" s="28" t="inlineStr">
        <is>
          <t>755</t>
        </is>
      </c>
      <c r="Q18" s="28" t="inlineStr">
        <is>
          <t>See damage/effect note</t>
        </is>
      </c>
      <c r="R18" s="28" t="inlineStr">
        <is>
          <t>Melee / no projectile</t>
        </is>
      </c>
      <c r="S18" s="28" t="inlineStr">
        <is>
          <t>—</t>
        </is>
      </c>
      <c r="T18" s="28" t="n">
        <v>4</v>
      </c>
      <c r="U18" s="28" t="n">
        <v>0.45</v>
      </c>
      <c r="V18" s="28" t="n">
        <v>5.5</v>
      </c>
      <c r="W18" s="28" t="inlineStr">
        <is>
          <t>Fast single-target burst damage; no splash.</t>
        </is>
      </c>
      <c r="X18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18" s="28" t="inlineStr">
        <is>
          <t>https://www.deckshop.pro/card/stats
https://www.deckshop.pro/card/hitpoints
https://deckmelon.com/cards/mini-pekka
https://clashroyale.fandom.com/wiki/Mini_P.E.K.K.A</t>
        </is>
      </c>
      <c r="Z18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18" s="28" t="inlineStr">
        <is>
          <t>https://github.com/smlbiobot/cr-csv/blob/master/assets/csv_logic/characters.csv
https://github.com/smlbiobot/cr-csv/blob/master/assets/csv_logic/projectiles.csv</t>
        </is>
      </c>
      <c r="AB18" s="28" t="inlineStr">
        <is>
          <t>Current L11 from Deckmelon.</t>
        </is>
      </c>
      <c r="AC18" s="41" t="inlineStr">
        <is>
          <t>N/A</t>
        </is>
      </c>
      <c r="AD18" s="28" t="inlineStr">
        <is>
          <t>Single-target / no splash or AoE</t>
        </is>
      </c>
      <c r="AE18" s="46" t="n">
        <v>0.5</v>
      </c>
      <c r="AF18" s="46" t="n">
        <v>1.1</v>
      </c>
      <c r="AG18" s="46" t="inlineStr">
        <is>
          <t>N/A</t>
        </is>
      </c>
    </row>
    <row r="19" ht="36" customHeight="1" s="31">
      <c r="A19" s="45" t="n">
        <v>18</v>
      </c>
      <c r="B19" s="22" t="inlineStr">
        <is>
          <t>Musketeer</t>
        </is>
      </c>
      <c r="C19" s="22" t="inlineStr">
        <is>
          <t>Troop</t>
        </is>
      </c>
      <c r="D19" s="22" t="inlineStr">
        <is>
          <t>Rare</t>
        </is>
      </c>
      <c r="E19" s="45" t="n">
        <v>4</v>
      </c>
      <c r="F19" s="28" t="inlineStr">
        <is>
          <t>1</t>
        </is>
      </c>
      <c r="G19" s="28" t="inlineStr">
        <is>
          <t>Air &amp; ground</t>
        </is>
      </c>
      <c r="H19" s="28" t="inlineStr">
        <is>
          <t>Medium</t>
        </is>
      </c>
      <c r="I19" s="39" t="n">
        <v>60</v>
      </c>
      <c r="J19" s="28" t="inlineStr">
        <is>
          <t>6.0</t>
        </is>
      </c>
      <c r="K19" s="28" t="n">
        <v>1</v>
      </c>
      <c r="L19" s="28" t="inlineStr">
        <is>
          <t>1.0</t>
        </is>
      </c>
      <c r="M19" s="28" t="inlineStr">
        <is>
          <t>N/A</t>
        </is>
      </c>
      <c r="N19" s="28" t="inlineStr">
        <is>
          <t>721</t>
        </is>
      </c>
      <c r="O19" s="28" t="n"/>
      <c r="P19" s="28" t="inlineStr">
        <is>
          <t>217</t>
        </is>
      </c>
      <c r="Q19" s="28" t="inlineStr">
        <is>
          <t>See damage/effect note</t>
        </is>
      </c>
      <c r="R19" s="28" t="inlineStr">
        <is>
          <t>MusketeerProjectile</t>
        </is>
      </c>
      <c r="S19" s="28" t="inlineStr">
        <is>
          <t>1000 attack</t>
        </is>
      </c>
      <c r="T19" s="28" t="n">
        <v>5</v>
      </c>
      <c r="U19" s="28" t="n">
        <v>0.5</v>
      </c>
      <c r="V19" s="28" t="n">
        <v>6</v>
      </c>
      <c r="W19" s="28" t="inlineStr">
        <is>
          <t>Long-range single-target support; air/ground.</t>
        </is>
      </c>
      <c r="X19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19" s="28" t="inlineStr">
        <is>
          <t>https://www.deckshop.pro/card/stats
https://www.deckshop.pro/card/hitpoints
https://deckmelon.com/cards/musketeer
https://clashroyale.fandom.com/wiki/Musketeer
https://www.deckshop.pro/card/detail/musketeer</t>
        </is>
      </c>
      <c r="Z19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19" s="28" t="inlineStr">
        <is>
          <t>https://github.com/smlbiobot/cr-csv/blob/master/assets/csv_logic/characters.csv
https://github.com/smlbiobot/cr-csv/blob/master/assets/csv_logic/projectiles.csv</t>
        </is>
      </c>
      <c r="AB19" s="28" t="inlineStr">
        <is>
          <t>Updated: L11 HP/damage verified.</t>
        </is>
      </c>
      <c r="AC19" s="41" t="inlineStr">
        <is>
          <t>N/A</t>
        </is>
      </c>
      <c r="AD19" s="28" t="inlineStr">
        <is>
          <t>Single-target / no splash or AoE</t>
        </is>
      </c>
      <c r="AE19" s="46" t="n">
        <v>0.7</v>
      </c>
      <c r="AF19" s="46" t="n">
        <v>0.3</v>
      </c>
      <c r="AG19" s="46" t="inlineStr">
        <is>
          <t>N/A</t>
        </is>
      </c>
    </row>
    <row r="20" ht="36" customHeight="1" s="31">
      <c r="A20" s="45" t="n">
        <v>19</v>
      </c>
      <c r="B20" s="22" t="inlineStr">
        <is>
          <t>Giant</t>
        </is>
      </c>
      <c r="C20" s="22" t="inlineStr">
        <is>
          <t>Troop</t>
        </is>
      </c>
      <c r="D20" s="22" t="inlineStr">
        <is>
          <t>Rare</t>
        </is>
      </c>
      <c r="E20" s="45" t="n">
        <v>5</v>
      </c>
      <c r="F20" s="28" t="inlineStr">
        <is>
          <t>1</t>
        </is>
      </c>
      <c r="G20" s="28" t="inlineStr">
        <is>
          <t>Buildings</t>
        </is>
      </c>
      <c r="H20" s="28" t="inlineStr">
        <is>
          <t>Slow</t>
        </is>
      </c>
      <c r="I20" s="39" t="n">
        <v>45</v>
      </c>
      <c r="J20" s="28" t="inlineStr">
        <is>
          <t>1.2</t>
        </is>
      </c>
      <c r="K20" s="28" t="n">
        <v>1.5</v>
      </c>
      <c r="L20" s="28" t="inlineStr">
        <is>
          <t>1.0</t>
        </is>
      </c>
      <c r="M20" s="28" t="inlineStr">
        <is>
          <t>N/A</t>
        </is>
      </c>
      <c r="N20" s="28" t="inlineStr">
        <is>
          <t>4,090</t>
        </is>
      </c>
      <c r="O20" s="28" t="n"/>
      <c r="P20" s="28" t="inlineStr">
        <is>
          <t>253</t>
        </is>
      </c>
      <c r="Q20" s="28" t="inlineStr">
        <is>
          <t>See damage/effect note</t>
        </is>
      </c>
      <c r="R20" s="28" t="inlineStr">
        <is>
          <t>Melee / no projectile</t>
        </is>
      </c>
      <c r="S20" s="28" t="inlineStr">
        <is>
          <t>—</t>
        </is>
      </c>
      <c r="T20" s="28" t="n">
        <v>18</v>
      </c>
      <c r="U20" s="28" t="n">
        <v>0.75</v>
      </c>
      <c r="V20" s="28" t="n">
        <v>7.5</v>
      </c>
      <c r="W20" s="28" t="inlineStr">
        <is>
          <t>Slow building-targeting tank.</t>
        </is>
      </c>
      <c r="X20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20" s="28" t="inlineStr">
        <is>
          <t>https://www.deckshop.pro/card/stats
https://www.deckshop.pro/card/hitpoints
https://deckmelon.com/cards/giant
https://clashroyale.fandom.com/wiki/Giant</t>
        </is>
      </c>
      <c r="Z20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20" s="28" t="inlineStr">
        <is>
          <t>https://github.com/smlbiobot/cr-csv/blob/master/assets/csv_logic/characters.csv
https://github.com/smlbiobot/cr-csv/blob/master/assets/csv_logic/projectiles.csv</t>
        </is>
      </c>
      <c r="AB20" s="28" t="inlineStr">
        <is>
          <t>Current L11 from Deckmelon.</t>
        </is>
      </c>
      <c r="AC20" s="41" t="inlineStr">
        <is>
          <t>N/A</t>
        </is>
      </c>
      <c r="AD20" s="28" t="inlineStr">
        <is>
          <t>Single-target / no splash or AoE</t>
        </is>
      </c>
      <c r="AE20" s="46" t="n">
        <v>0.5</v>
      </c>
      <c r="AF20" s="46" t="n">
        <v>1</v>
      </c>
      <c r="AG20" s="46" t="inlineStr">
        <is>
          <t>N/A</t>
        </is>
      </c>
    </row>
    <row r="21" ht="36" customHeight="1" s="31">
      <c r="A21" s="45" t="n">
        <v>20</v>
      </c>
      <c r="B21" s="22" t="inlineStr">
        <is>
          <t>Valkyrie</t>
        </is>
      </c>
      <c r="C21" s="22" t="inlineStr">
        <is>
          <t>Troop</t>
        </is>
      </c>
      <c r="D21" s="22" t="inlineStr">
        <is>
          <t>Rare</t>
        </is>
      </c>
      <c r="E21" s="45" t="n">
        <v>4</v>
      </c>
      <c r="F21" s="28" t="inlineStr">
        <is>
          <t>1</t>
        </is>
      </c>
      <c r="G21" s="28" t="inlineStr">
        <is>
          <t>Ground</t>
        </is>
      </c>
      <c r="H21" s="28" t="inlineStr">
        <is>
          <t>Medium</t>
        </is>
      </c>
      <c r="I21" s="39" t="n">
        <v>60</v>
      </c>
      <c r="J21" s="28" t="inlineStr">
        <is>
          <t>1.2</t>
        </is>
      </c>
      <c r="K21" s="28" t="n">
        <v>1.5</v>
      </c>
      <c r="L21" s="28" t="inlineStr">
        <is>
          <t>1.0</t>
        </is>
      </c>
      <c r="M21" s="28" t="inlineStr">
        <is>
          <t>N/A</t>
        </is>
      </c>
      <c r="N21" s="28" t="inlineStr">
        <is>
          <t>1,907</t>
        </is>
      </c>
      <c r="O21" s="28" t="n"/>
      <c r="P21" s="28" t="inlineStr">
        <is>
          <t>266 area</t>
        </is>
      </c>
      <c r="Q21" s="28" t="inlineStr">
        <is>
          <t>See damage/effect note</t>
        </is>
      </c>
      <c r="R21" s="28" t="inlineStr">
        <is>
          <t>Melee / no projectile</t>
        </is>
      </c>
      <c r="S21" s="28" t="inlineStr">
        <is>
          <t>—</t>
        </is>
      </c>
      <c r="T21" s="28" t="n">
        <v>5</v>
      </c>
      <c r="U21" s="28" t="n">
        <v>0.5</v>
      </c>
      <c r="V21" s="28" t="n">
        <v>5.5</v>
      </c>
      <c r="W21" s="28" t="inlineStr">
        <is>
          <t>360° ground splash melee; no air targeting.</t>
        </is>
      </c>
      <c r="X21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21" s="28" t="inlineStr">
        <is>
          <t>https://www.deckshop.pro/card/stats
https://www.deckshop.pro/card/hitpoints
https://deckmelon.com/cards/valkyrie
https://clashroyale.fandom.com/wiki/Valkyrie
https://decksforcr.com/card/detail/valkyrie
https://www.deckshop.pro/go/card/detail/valkyrie</t>
        </is>
      </c>
      <c r="Z21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21" s="28" t="inlineStr">
        <is>
          <t>https://github.com/smlbiobot/cr-csv/blob/master/assets/csv_logic/characters.csv
https://github.com/smlbiobot/cr-csv/blob/master/assets/csv_logic/projectiles.csv</t>
        </is>
      </c>
      <c r="AB21" s="28" t="inlineStr">
        <is>
          <t>Updated: L11 HP/damage verified; area radius added.</t>
        </is>
      </c>
      <c r="AC21" s="41" t="inlineStr">
        <is>
          <t>1.9</t>
        </is>
      </c>
      <c r="AD21" s="41" t="inlineStr">
        <is>
          <t>360° melee sweep</t>
        </is>
      </c>
      <c r="AE21" s="46" t="n">
        <v>0.1</v>
      </c>
      <c r="AF21" s="46" t="n">
        <v>1.4</v>
      </c>
      <c r="AG21" s="46" t="inlineStr">
        <is>
          <t>N/A</t>
        </is>
      </c>
    </row>
    <row r="22" ht="36" customHeight="1" s="31">
      <c r="A22" s="45" t="n">
        <v>21</v>
      </c>
      <c r="B22" s="22" t="inlineStr">
        <is>
          <t>Mega Minion</t>
        </is>
      </c>
      <c r="C22" s="22" t="inlineStr">
        <is>
          <t>Troop</t>
        </is>
      </c>
      <c r="D22" s="22" t="inlineStr">
        <is>
          <t>Rare</t>
        </is>
      </c>
      <c r="E22" s="45" t="n">
        <v>3</v>
      </c>
      <c r="F22" s="28" t="inlineStr">
        <is>
          <t>1</t>
        </is>
      </c>
      <c r="G22" s="28" t="inlineStr">
        <is>
          <t>Air &amp; ground</t>
        </is>
      </c>
      <c r="H22" s="28" t="inlineStr">
        <is>
          <t>Medium</t>
        </is>
      </c>
      <c r="I22" s="39" t="n">
        <v>60</v>
      </c>
      <c r="J22" s="28" t="inlineStr">
        <is>
          <t>1.6</t>
        </is>
      </c>
      <c r="K22" s="28" t="n">
        <v>1.6</v>
      </c>
      <c r="L22" s="28" t="inlineStr">
        <is>
          <t>1.0</t>
        </is>
      </c>
      <c r="M22" s="28" t="inlineStr">
        <is>
          <t>N/A</t>
        </is>
      </c>
      <c r="N22" s="28" t="inlineStr">
        <is>
          <t>837</t>
        </is>
      </c>
      <c r="O22" s="28" t="n"/>
      <c r="P22" s="28" t="inlineStr">
        <is>
          <t>312</t>
        </is>
      </c>
      <c r="Q22" s="28" t="inlineStr">
        <is>
          <t>See damage/effect note</t>
        </is>
      </c>
      <c r="R22" s="28" t="inlineStr">
        <is>
          <t>Attack projectile</t>
        </is>
      </c>
      <c r="S22" s="28" t="inlineStr">
        <is>
          <t>1000 attack</t>
        </is>
      </c>
      <c r="T22" s="28" t="n">
        <v>6</v>
      </c>
      <c r="U22" s="28" t="n">
        <v>0.6</v>
      </c>
      <c r="V22" s="28" t="n">
        <v>5.5</v>
      </c>
      <c r="W22" s="28" t="inlineStr">
        <is>
          <t>Flying single-target support; medium speed.</t>
        </is>
      </c>
      <c r="X22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22" s="28" t="inlineStr">
        <is>
          <t>https://www.deckshop.pro/card/stats
https://www.deckshop.pro/card/hitpoints
https://deckmelon.com/cards/mega-minion
https://clashroyale.fandom.com/wiki/Mega_Minion
https://www.deckshop.pro/card/detail/mega-minion</t>
        </is>
      </c>
      <c r="Z22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22" s="28" t="inlineStr">
        <is>
          <t>https://github.com/smlbiobot/cr-csv/blob/master/assets/csv_logic/characters.csv
https://github.com/smlbiobot/cr-csv/blob/master/assets/csv_logic/projectiles.csv</t>
        </is>
      </c>
      <c r="AB22" s="28" t="inlineStr">
        <is>
          <t>Updated: L11 HP/damage verified.</t>
        </is>
      </c>
      <c r="AC22" s="41" t="inlineStr">
        <is>
          <t>N/A</t>
        </is>
      </c>
      <c r="AD22" s="28" t="inlineStr">
        <is>
          <t>Single-target / no splash or AoE</t>
        </is>
      </c>
      <c r="AE22" s="46" t="n">
        <v>0.4</v>
      </c>
      <c r="AF22" s="46" t="n">
        <v>1.2</v>
      </c>
      <c r="AG22" s="46" t="inlineStr">
        <is>
          <t>N/A</t>
        </is>
      </c>
    </row>
    <row r="23" ht="36" customHeight="1" s="31">
      <c r="A23" s="45" t="n">
        <v>22</v>
      </c>
      <c r="B23" s="22" t="inlineStr">
        <is>
          <t>Battle Ram</t>
        </is>
      </c>
      <c r="C23" s="22" t="inlineStr">
        <is>
          <t>Troop</t>
        </is>
      </c>
      <c r="D23" s="22" t="inlineStr">
        <is>
          <t>Rare</t>
        </is>
      </c>
      <c r="E23" s="45" t="n">
        <v>4</v>
      </c>
      <c r="F23" s="28" t="inlineStr">
        <is>
          <t>1 ram + 2 Barbarians on break</t>
        </is>
      </c>
      <c r="G23" s="28" t="inlineStr">
        <is>
          <t>Buildings while charging; Barbarians target ground</t>
        </is>
      </c>
      <c r="H23" s="28" t="inlineStr">
        <is>
          <t>Medium</t>
        </is>
      </c>
      <c r="I23" s="39" t="n">
        <v>60</v>
      </c>
      <c r="J23" s="28" t="inlineStr">
        <is>
          <t>0.8</t>
        </is>
      </c>
      <c r="K23" s="28" t="inlineStr">
        <is>
          <t>Charge then Barbarians 1.4</t>
        </is>
      </c>
      <c r="L23" s="28" t="inlineStr">
        <is>
          <t>1.0</t>
        </is>
      </c>
      <c r="M23" s="28" t="inlineStr">
        <is>
          <t>N/A</t>
        </is>
      </c>
      <c r="N23" s="28" t="inlineStr">
        <is>
          <t>967 Ram; 670 per spawned Barbarian</t>
        </is>
      </c>
      <c r="O23" s="28" t="n"/>
      <c r="P23" s="28" t="inlineStr">
        <is>
          <t>286 impact / 573 charge; Barbarians 192 each</t>
        </is>
      </c>
      <c r="Q23" s="28" t="inlineStr">
        <is>
          <t>See damage/effect note</t>
        </is>
      </c>
      <c r="R23" s="28" t="inlineStr">
        <is>
          <t>Melee / no projectile</t>
        </is>
      </c>
      <c r="S23" s="28" t="inlineStr">
        <is>
          <t>—</t>
        </is>
      </c>
      <c r="T23" s="28" t="n">
        <v>6</v>
      </c>
      <c r="U23" s="28" t="n">
        <v>0.75</v>
      </c>
      <c r="V23" s="28" t="n">
        <v>5.5</v>
      </c>
      <c r="W23" s="28" t="inlineStr">
        <is>
          <t>Charges buildings; breaks into two Barbarians.</t>
        </is>
      </c>
      <c r="X23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23" s="28" t="inlineStr">
        <is>
          <t>https://www.deckshop.pro/card/stats
https://www.deckshop.pro/card/hitpoints
https://deckmelon.com/cards/battle-ram
https://clashroyale.fandom.com/wiki/Battle_Ram</t>
        </is>
      </c>
      <c r="Z23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23" s="28" t="inlineStr">
        <is>
          <t>https://github.com/smlbiobot/cr-csv/blob/master/assets/csv_logic/characters.csv
https://github.com/smlbiobot/cr-csv/blob/master/assets/csv_logic/projectiles.csv</t>
        </is>
      </c>
      <c r="AB23" s="28" t="inlineStr">
        <is>
          <t>Updated: L11 ram and Barbarian component stats verified.</t>
        </is>
      </c>
      <c r="AC23" s="41" t="inlineStr">
        <is>
          <t>N/A</t>
        </is>
      </c>
      <c r="AD23" s="28" t="inlineStr">
        <is>
          <t>Single-target / no splash or AoE</t>
        </is>
      </c>
      <c r="AE23" s="29" t="inlineStr">
        <is>
          <t>0.35 uncharged / 0 charged / 0.4 spawned Barbarians</t>
        </is>
      </c>
      <c r="AF23" s="29" t="inlineStr">
        <is>
          <t>0.05 uncharged / 0.4 charged / 1.0 spawned Barbarians</t>
        </is>
      </c>
      <c r="AG23" s="29" t="inlineStr">
        <is>
          <t>N/A</t>
        </is>
      </c>
    </row>
    <row r="24" ht="36" customHeight="1" s="31">
      <c r="A24" s="45" t="n">
        <v>23</v>
      </c>
      <c r="B24" s="22" t="inlineStr">
        <is>
          <t>Wizard</t>
        </is>
      </c>
      <c r="C24" s="22" t="inlineStr">
        <is>
          <t>Troop</t>
        </is>
      </c>
      <c r="D24" s="22" t="inlineStr">
        <is>
          <t>Rare</t>
        </is>
      </c>
      <c r="E24" s="45" t="n">
        <v>5</v>
      </c>
      <c r="F24" s="28" t="inlineStr">
        <is>
          <t>1</t>
        </is>
      </c>
      <c r="G24" s="28" t="inlineStr">
        <is>
          <t>Air &amp; ground</t>
        </is>
      </c>
      <c r="H24" s="28" t="inlineStr">
        <is>
          <t>Medium</t>
        </is>
      </c>
      <c r="I24" s="39" t="n">
        <v>60</v>
      </c>
      <c r="J24" s="28" t="inlineStr">
        <is>
          <t>5.5</t>
        </is>
      </c>
      <c r="K24" s="28" t="n">
        <v>1.4</v>
      </c>
      <c r="L24" s="28" t="inlineStr">
        <is>
          <t>1.0</t>
        </is>
      </c>
      <c r="M24" s="28" t="inlineStr">
        <is>
          <t>N/A</t>
        </is>
      </c>
      <c r="N24" s="28" t="inlineStr">
        <is>
          <t>755</t>
        </is>
      </c>
      <c r="O24" s="28" t="n"/>
      <c r="P24" s="28" t="inlineStr">
        <is>
          <t>281 area</t>
        </is>
      </c>
      <c r="Q24" s="28" t="inlineStr">
        <is>
          <t>See damage/effect note</t>
        </is>
      </c>
      <c r="R24" s="28" t="inlineStr">
        <is>
          <t>Wizard projectile</t>
        </is>
      </c>
      <c r="S24" s="28" t="inlineStr">
        <is>
          <t>600 attack</t>
        </is>
      </c>
      <c r="T24" s="28" t="n">
        <v>5</v>
      </c>
      <c r="U24" s="28" t="n">
        <v>0.5</v>
      </c>
      <c r="V24" s="28" t="n">
        <v>5.5</v>
      </c>
      <c r="W24" s="28" t="inlineStr">
        <is>
          <t>Ranged splash support; air/ground.</t>
        </is>
      </c>
      <c r="X24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24" s="28" t="inlineStr">
        <is>
          <t>https://www.deckshop.pro/card/stats
https://www.deckshop.pro/card/hitpoints
https://deckmelon.com/cards/wizard
https://clashroyale.fandom.com/wiki/Wizard</t>
        </is>
      </c>
      <c r="Z24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24" s="28" t="inlineStr">
        <is>
          <t>https://github.com/smlbiobot/cr-csv/blob/master/assets/csv_logic/characters.csv
https://github.com/smlbiobot/cr-csv/blob/master/assets/csv_logic/projectiles.csv</t>
        </is>
      </c>
      <c r="AB24" s="28" t="inlineStr">
        <is>
          <t>Current L11 from Deckmelon.</t>
        </is>
      </c>
      <c r="AC24" s="41" t="inlineStr">
        <is>
          <t>1.5</t>
        </is>
      </c>
      <c r="AD24" s="41" t="inlineStr">
        <is>
          <t>Homing projectile splash</t>
        </is>
      </c>
      <c r="AE24" s="46" t="n">
        <v>0.4</v>
      </c>
      <c r="AF24" s="46" t="n">
        <v>1</v>
      </c>
      <c r="AG24" s="46" t="inlineStr">
        <is>
          <t>N/A</t>
        </is>
      </c>
    </row>
    <row r="25" ht="36" customHeight="1" s="31">
      <c r="A25" s="45" t="n">
        <v>24</v>
      </c>
      <c r="B25" s="22" t="inlineStr">
        <is>
          <t>Flying Machine</t>
        </is>
      </c>
      <c r="C25" s="22" t="inlineStr">
        <is>
          <t>Troop</t>
        </is>
      </c>
      <c r="D25" s="22" t="inlineStr">
        <is>
          <t>Rare</t>
        </is>
      </c>
      <c r="E25" s="45" t="n">
        <v>4</v>
      </c>
      <c r="F25" s="28" t="inlineStr">
        <is>
          <t>1</t>
        </is>
      </c>
      <c r="G25" s="28" t="inlineStr">
        <is>
          <t>Air &amp; ground</t>
        </is>
      </c>
      <c r="H25" s="28" t="inlineStr">
        <is>
          <t>Fast</t>
        </is>
      </c>
      <c r="I25" s="39" t="n">
        <v>90</v>
      </c>
      <c r="J25" s="28" t="inlineStr">
        <is>
          <t>6.0</t>
        </is>
      </c>
      <c r="K25" s="28" t="n">
        <v>1.1</v>
      </c>
      <c r="L25" s="28" t="inlineStr">
        <is>
          <t>1.0</t>
        </is>
      </c>
      <c r="M25" s="28" t="inlineStr">
        <is>
          <t>N/A</t>
        </is>
      </c>
      <c r="N25" s="28" t="inlineStr">
        <is>
          <t>614</t>
        </is>
      </c>
      <c r="O25" s="28" t="n"/>
      <c r="P25" s="28" t="inlineStr">
        <is>
          <t>171</t>
        </is>
      </c>
      <c r="Q25" s="28" t="inlineStr">
        <is>
          <t>See damage/effect note</t>
        </is>
      </c>
      <c r="R25" s="28" t="inlineStr">
        <is>
          <t>Attack projectile</t>
        </is>
      </c>
      <c r="S25" s="28" t="inlineStr">
        <is>
          <t>800 attack</t>
        </is>
      </c>
      <c r="T25" s="28" t="n">
        <v>3</v>
      </c>
      <c r="U25" s="28" t="n">
        <v>0.5</v>
      </c>
      <c r="V25" s="28" t="n">
        <v>6</v>
      </c>
      <c r="W25" s="28" t="inlineStr">
        <is>
          <t>Flying long-range single-target support.</t>
        </is>
      </c>
      <c r="X25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25" s="28" t="inlineStr">
        <is>
          <t>https://www.deckshop.pro/card/stats
https://www.deckshop.pro/card/hitpoints
https://deckmelon.com/cards/flying-machine
https://clashroyale.fandom.com/wiki/Flying_Machine
https://www.deckshop.pro/card/detail/flying-machine</t>
        </is>
      </c>
      <c r="Z25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25" s="28" t="inlineStr">
        <is>
          <t>https://github.com/smlbiobot/cr-csv/blob/master/assets/csv_logic/characters.csv
https://github.com/smlbiobot/cr-csv/blob/master/assets/csv_logic/projectiles.csv</t>
        </is>
      </c>
      <c r="AB25" s="28" t="inlineStr">
        <is>
          <t>Updated: L11 HP/damage verified.</t>
        </is>
      </c>
      <c r="AC25" s="41" t="inlineStr">
        <is>
          <t>N/A</t>
        </is>
      </c>
      <c r="AD25" s="28" t="inlineStr">
        <is>
          <t>Single-target / no splash or AoE</t>
        </is>
      </c>
      <c r="AE25" s="46" t="n">
        <v>0.5</v>
      </c>
      <c r="AF25" s="46" t="n">
        <v>0.6</v>
      </c>
      <c r="AG25" s="46" t="inlineStr">
        <is>
          <t>N/A</t>
        </is>
      </c>
    </row>
    <row r="26" ht="36" customHeight="1" s="31">
      <c r="A26" s="45" t="n">
        <v>25</v>
      </c>
      <c r="B26" s="22" t="inlineStr">
        <is>
          <t>Hog Rider</t>
        </is>
      </c>
      <c r="C26" s="22" t="inlineStr">
        <is>
          <t>Troop</t>
        </is>
      </c>
      <c r="D26" s="22" t="inlineStr">
        <is>
          <t>Rare</t>
        </is>
      </c>
      <c r="E26" s="45" t="n">
        <v>4</v>
      </c>
      <c r="F26" s="28" t="inlineStr">
        <is>
          <t>1</t>
        </is>
      </c>
      <c r="G26" s="28" t="inlineStr">
        <is>
          <t>Buildings</t>
        </is>
      </c>
      <c r="H26" s="28" t="inlineStr">
        <is>
          <t>Very Fast</t>
        </is>
      </c>
      <c r="I26" s="39" t="n">
        <v>120</v>
      </c>
      <c r="J26" s="28" t="inlineStr">
        <is>
          <t>0.8</t>
        </is>
      </c>
      <c r="K26" s="28" t="n">
        <v>1.6</v>
      </c>
      <c r="L26" s="28" t="inlineStr">
        <is>
          <t>1.0</t>
        </is>
      </c>
      <c r="M26" s="28" t="inlineStr">
        <is>
          <t>N/A</t>
        </is>
      </c>
      <c r="N26" s="28" t="inlineStr">
        <is>
          <t>1,697</t>
        </is>
      </c>
      <c r="O26" s="28" t="n"/>
      <c r="P26" s="28" t="inlineStr">
        <is>
          <t>317</t>
        </is>
      </c>
      <c r="Q26" s="28" t="inlineStr">
        <is>
          <t>See damage/effect note</t>
        </is>
      </c>
      <c r="R26" s="28" t="inlineStr">
        <is>
          <t>Melee / no projectile</t>
        </is>
      </c>
      <c r="S26" s="28" t="inlineStr">
        <is>
          <t>—</t>
        </is>
      </c>
      <c r="T26" s="28" t="n">
        <v>4</v>
      </c>
      <c r="U26" s="28" t="n">
        <v>0.6</v>
      </c>
      <c r="V26" s="28" t="n">
        <v>9.5</v>
      </c>
      <c r="W26" s="28" t="inlineStr">
        <is>
          <t>Very fast building-targeting rider; jumps river.</t>
        </is>
      </c>
      <c r="X26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26" s="28" t="inlineStr">
        <is>
          <t>https://www.deckshop.pro/card/stats
https://www.deckshop.pro/card/hitpoints
https://deckmelon.com/cards/hog-rider
https://clashroyale.fandom.com/wiki/Hog_Rider</t>
        </is>
      </c>
      <c r="Z26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26" s="28" t="inlineStr">
        <is>
          <t>https://github.com/smlbiobot/cr-csv/blob/master/assets/csv_logic/characters.csv
https://github.com/smlbiobot/cr-csv/blob/master/assets/csv_logic/projectiles.csv</t>
        </is>
      </c>
      <c r="AB26" s="28" t="inlineStr">
        <is>
          <t>Current L11 from Deckmelon.</t>
        </is>
      </c>
      <c r="AC26" s="41" t="inlineStr">
        <is>
          <t>N/A</t>
        </is>
      </c>
      <c r="AD26" s="28" t="inlineStr">
        <is>
          <t>Single-target / no splash or AoE</t>
        </is>
      </c>
      <c r="AE26" s="46" t="n">
        <v>0.6</v>
      </c>
      <c r="AF26" s="46" t="n">
        <v>1</v>
      </c>
      <c r="AG26" s="46" t="inlineStr">
        <is>
          <t>N/A</t>
        </is>
      </c>
    </row>
    <row r="27" ht="36" customHeight="1" s="31">
      <c r="A27" s="45" t="n">
        <v>26</v>
      </c>
      <c r="B27" s="22" t="inlineStr">
        <is>
          <t>Three Musketeers</t>
        </is>
      </c>
      <c r="C27" s="22" t="inlineStr">
        <is>
          <t>Troop</t>
        </is>
      </c>
      <c r="D27" s="22" t="inlineStr">
        <is>
          <t>Rare</t>
        </is>
      </c>
      <c r="E27" s="45" t="n">
        <v>9</v>
      </c>
      <c r="F27" s="28" t="inlineStr">
        <is>
          <t>3</t>
        </is>
      </c>
      <c r="G27" s="28" t="inlineStr">
        <is>
          <t>Air &amp; ground</t>
        </is>
      </c>
      <c r="H27" s="28" t="inlineStr">
        <is>
          <t>Medium</t>
        </is>
      </c>
      <c r="I27" s="39" t="n">
        <v>60</v>
      </c>
      <c r="J27" s="28" t="inlineStr">
        <is>
          <t>6.0</t>
        </is>
      </c>
      <c r="K27" s="28" t="n">
        <v>1</v>
      </c>
      <c r="L27" s="28" t="inlineStr">
        <is>
          <t>1.0</t>
        </is>
      </c>
      <c r="M27" s="28" t="inlineStr">
        <is>
          <t>N/A</t>
        </is>
      </c>
      <c r="N27" s="28" t="inlineStr">
        <is>
          <t>721 per Musketeer</t>
        </is>
      </c>
      <c r="O27" s="28" t="n"/>
      <c r="P27" s="28" t="inlineStr">
        <is>
          <t>217 ×3</t>
        </is>
      </c>
      <c r="Q27" s="28" t="inlineStr">
        <is>
          <t>See damage/effect note</t>
        </is>
      </c>
      <c r="R27" s="28" t="inlineStr">
        <is>
          <t>MusketeerProjectile</t>
        </is>
      </c>
      <c r="S27" s="28" t="inlineStr">
        <is>
          <t>1000 attack</t>
        </is>
      </c>
      <c r="T27" s="28" t="inlineStr">
        <is>
          <t>5 per spawned unit</t>
        </is>
      </c>
      <c r="U27" s="28" t="n">
        <v>0.5</v>
      </c>
      <c r="V27" s="28" t="n">
        <v>6</v>
      </c>
      <c r="W27" s="28" t="inlineStr">
        <is>
          <t>Deploys three Musketeers; can be split; 9 elixir.</t>
        </is>
      </c>
      <c r="X27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27" s="28" t="inlineStr">
        <is>
          <t>https://www.deckshop.pro/card/stats
https://www.deckshop.pro/card/hitpoints
https://deckmelon.com/cards/three-musketeers
https://clashroyale.fandom.com/wiki/Three_Musketeers
https://www.deckshop.pro/card/detail/musketeer</t>
        </is>
      </c>
      <c r="Z27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27" s="28" t="inlineStr">
        <is>
          <t>https://github.com/smlbiobot/cr-csv/blob/master/assets/csv_logic/characters.csv
https://github.com/smlbiobot/cr-csv/blob/master/assets/csv_logic/projectiles.csv</t>
        </is>
      </c>
      <c r="AB27" s="28" t="inlineStr">
        <is>
          <t>Updated to mirror Level 11 Musketeer stats.</t>
        </is>
      </c>
      <c r="AC27" s="41" t="inlineStr">
        <is>
          <t>N/A</t>
        </is>
      </c>
      <c r="AD27" s="28" t="inlineStr">
        <is>
          <t>Single-target / no splash or AoE</t>
        </is>
      </c>
      <c r="AE27" s="46" t="n">
        <v>0.7</v>
      </c>
      <c r="AF27" s="46" t="n">
        <v>0.3</v>
      </c>
      <c r="AG27" s="46" t="inlineStr">
        <is>
          <t>N/A</t>
        </is>
      </c>
    </row>
    <row r="28" ht="36" customHeight="1" s="31">
      <c r="A28" s="45" t="n">
        <v>27</v>
      </c>
      <c r="B28" s="22" t="inlineStr">
        <is>
          <t>Ice Golem</t>
        </is>
      </c>
      <c r="C28" s="22" t="inlineStr">
        <is>
          <t>Troop</t>
        </is>
      </c>
      <c r="D28" s="22" t="inlineStr">
        <is>
          <t>Rare</t>
        </is>
      </c>
      <c r="E28" s="45" t="n">
        <v>2</v>
      </c>
      <c r="F28" s="28" t="inlineStr">
        <is>
          <t>1</t>
        </is>
      </c>
      <c r="G28" s="28" t="inlineStr">
        <is>
          <t>Buildings</t>
        </is>
      </c>
      <c r="H28" s="28" t="inlineStr">
        <is>
          <t>Slow</t>
        </is>
      </c>
      <c r="I28" s="39" t="n">
        <v>45</v>
      </c>
      <c r="J28" s="28" t="inlineStr">
        <is>
          <t>0.75</t>
        </is>
      </c>
      <c r="K28" s="28" t="n">
        <v>2.5</v>
      </c>
      <c r="L28" s="28" t="inlineStr">
        <is>
          <t>1.0</t>
        </is>
      </c>
      <c r="M28" s="28" t="inlineStr">
        <is>
          <t>N/A</t>
        </is>
      </c>
      <c r="N28" s="28" t="inlineStr">
        <is>
          <t>1,318</t>
        </is>
      </c>
      <c r="O28" s="28" t="n"/>
      <c r="P28" s="28" t="inlineStr">
        <is>
          <t>84 death damage + slow</t>
        </is>
      </c>
      <c r="Q28" s="28" t="inlineStr">
        <is>
          <t>See damage/effect note</t>
        </is>
      </c>
      <c r="R28" s="28" t="inlineStr">
        <is>
          <t>Melee / no projectile</t>
        </is>
      </c>
      <c r="S28" s="28" t="inlineStr">
        <is>
          <t>—</t>
        </is>
      </c>
      <c r="T28" s="28" t="n">
        <v>6</v>
      </c>
      <c r="U28" s="28" t="n">
        <v>0.7</v>
      </c>
      <c r="V28" s="28" t="n">
        <v>7</v>
      </c>
      <c r="W28" s="28" t="inlineStr">
        <is>
          <t>Building-targeting kite tank; death nova slows/damages.</t>
        </is>
      </c>
      <c r="X28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28" s="28" t="inlineStr">
        <is>
          <t>https://www.deckshop.pro/card/stats
https://www.deckshop.pro/card/hitpoints
https://deckmelon.com/cards/ice-golem
https://clashroyale.fandom.com/wiki/Ice_Golem
https://www.deckshop.pro/card/detail/ice-golem</t>
        </is>
      </c>
      <c r="Z28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28" s="28" t="inlineStr">
        <is>
          <t>https://github.com/smlbiobot/cr-csv/blob/master/assets/csv_logic/characters.csv
https://github.com/smlbiobot/cr-csv/blob/master/assets/csv_logic/projectiles.csv</t>
        </is>
      </c>
      <c r="AB28" s="28" t="inlineStr">
        <is>
          <t>Updated: L11 HP/death damage verified; death radius added.</t>
        </is>
      </c>
      <c r="AC28" s="41" t="inlineStr">
        <is>
          <t>2.0</t>
        </is>
      </c>
      <c r="AD28" s="41" t="inlineStr">
        <is>
          <t>360° death nova</t>
        </is>
      </c>
      <c r="AE28" s="46" t="n">
        <v>1</v>
      </c>
      <c r="AF28" s="46" t="n">
        <v>1.5</v>
      </c>
      <c r="AG28" s="46" t="inlineStr">
        <is>
          <t>N/A</t>
        </is>
      </c>
    </row>
    <row r="29" ht="36" customHeight="1" s="31">
      <c r="A29" s="45" t="n">
        <v>28</v>
      </c>
      <c r="B29" s="22" t="inlineStr">
        <is>
          <t>Dart Goblin</t>
        </is>
      </c>
      <c r="C29" s="22" t="inlineStr">
        <is>
          <t>Troop</t>
        </is>
      </c>
      <c r="D29" s="22" t="inlineStr">
        <is>
          <t>Rare</t>
        </is>
      </c>
      <c r="E29" s="45" t="n">
        <v>3</v>
      </c>
      <c r="F29" s="28" t="inlineStr">
        <is>
          <t>1</t>
        </is>
      </c>
      <c r="G29" s="28" t="inlineStr">
        <is>
          <t>Air &amp; ground</t>
        </is>
      </c>
      <c r="H29" s="28" t="inlineStr">
        <is>
          <t>Very Fast</t>
        </is>
      </c>
      <c r="I29" s="39" t="n">
        <v>120</v>
      </c>
      <c r="J29" s="28" t="inlineStr">
        <is>
          <t>6.5</t>
        </is>
      </c>
      <c r="K29" s="28" t="n">
        <v>0.8</v>
      </c>
      <c r="L29" s="28" t="inlineStr">
        <is>
          <t>1.0</t>
        </is>
      </c>
      <c r="M29" s="28" t="inlineStr">
        <is>
          <t>N/A</t>
        </is>
      </c>
      <c r="N29" s="28" t="inlineStr">
        <is>
          <t>260</t>
        </is>
      </c>
      <c r="O29" s="28" t="n"/>
      <c r="P29" s="28" t="inlineStr">
        <is>
          <t>156</t>
        </is>
      </c>
      <c r="Q29" s="28" t="inlineStr">
        <is>
          <t>See damage/effect note</t>
        </is>
      </c>
      <c r="R29" s="28" t="inlineStr">
        <is>
          <t>DartGoblin dart</t>
        </is>
      </c>
      <c r="S29" s="28" t="inlineStr">
        <is>
          <t>800 attack</t>
        </is>
      </c>
      <c r="T29" s="28" t="n">
        <v>3</v>
      </c>
      <c r="U29" s="28" t="n">
        <v>0.5</v>
      </c>
      <c r="V29" s="28" t="n">
        <v>7.5</v>
      </c>
      <c r="W29" s="28" t="inlineStr">
        <is>
          <t>Very long range, very fast ranged chip; fragile.</t>
        </is>
      </c>
      <c r="X29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29" s="28" t="inlineStr">
        <is>
          <t>https://www.deckshop.pro/card/stats
https://www.deckshop.pro/card/hitpoints
https://deckmelon.com/cards/dart-goblin
https://clashroyale.fandom.com/wiki/Dart_Goblin</t>
        </is>
      </c>
      <c r="Z29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29" s="28" t="inlineStr">
        <is>
          <t>https://github.com/smlbiobot/cr-csv/blob/master/assets/csv_logic/characters.csv
https://github.com/smlbiobot/cr-csv/blob/master/assets/csv_logic/projectiles.csv</t>
        </is>
      </c>
      <c r="AB29" s="28" t="inlineStr">
        <is>
          <t>Current L11 from Deckmelon.</t>
        </is>
      </c>
      <c r="AC29" s="41" t="inlineStr">
        <is>
          <t>N/A</t>
        </is>
      </c>
      <c r="AD29" s="28" t="inlineStr">
        <is>
          <t>Single-target / no splash or AoE</t>
        </is>
      </c>
      <c r="AE29" s="46" t="n">
        <v>0.35</v>
      </c>
      <c r="AF29" s="46" t="n">
        <v>0.35</v>
      </c>
      <c r="AG29" s="46" t="inlineStr">
        <is>
          <t>N/A</t>
        </is>
      </c>
    </row>
    <row r="30" ht="36" customHeight="1" s="31">
      <c r="A30" s="45" t="n">
        <v>29</v>
      </c>
      <c r="B30" s="22" t="inlineStr">
        <is>
          <t>Zappies</t>
        </is>
      </c>
      <c r="C30" s="22" t="inlineStr">
        <is>
          <t>Troop</t>
        </is>
      </c>
      <c r="D30" s="22" t="inlineStr">
        <is>
          <t>Rare</t>
        </is>
      </c>
      <c r="E30" s="45" t="n">
        <v>4</v>
      </c>
      <c r="F30" s="28" t="inlineStr">
        <is>
          <t>3</t>
        </is>
      </c>
      <c r="G30" s="28" t="inlineStr">
        <is>
          <t>Air &amp; ground</t>
        </is>
      </c>
      <c r="H30" s="28" t="inlineStr">
        <is>
          <t>Medium</t>
        </is>
      </c>
      <c r="I30" s="39" t="n">
        <v>60</v>
      </c>
      <c r="J30" s="28" t="inlineStr">
        <is>
          <t>4.5</t>
        </is>
      </c>
      <c r="K30" s="28" t="n">
        <v>2.1</v>
      </c>
      <c r="L30" s="28" t="inlineStr">
        <is>
          <t>1.0</t>
        </is>
      </c>
      <c r="M30" s="28" t="inlineStr">
        <is>
          <t>N/A</t>
        </is>
      </c>
      <c r="N30" s="28" t="inlineStr">
        <is>
          <t>529 per Zappy</t>
        </is>
      </c>
      <c r="O30" s="28" t="n"/>
      <c r="P30" s="28" t="inlineStr">
        <is>
          <t>117 per Zappy ×3</t>
        </is>
      </c>
      <c r="Q30" s="28" t="inlineStr">
        <is>
          <t>See damage/effect note</t>
        </is>
      </c>
      <c r="R30" s="28" t="inlineStr">
        <is>
          <t>Melee / no projectile</t>
        </is>
      </c>
      <c r="S30" s="28" t="inlineStr">
        <is>
          <t>—</t>
        </is>
      </c>
      <c r="T30" s="28" t="n">
        <v>4</v>
      </c>
      <c r="U30" s="28" t="n">
        <v>0.6</v>
      </c>
      <c r="V30" s="28" t="n">
        <v>5</v>
      </c>
      <c r="W30" s="28" t="inlineStr">
        <is>
          <t>Three stun attackers; reset Inferno/Sparky-style effects.</t>
        </is>
      </c>
      <c r="X30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30" s="28" t="inlineStr">
        <is>
          <t>https://www.deckshop.pro/card/stats
https://www.deckshop.pro/card/hitpoints
https://deckmelon.com/cards/zappies
https://clashroyale.fandom.com/wiki/Zappies
https://www.deckshop.pro/card/detail/zappies</t>
        </is>
      </c>
      <c r="Z30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30" s="28" t="inlineStr">
        <is>
          <t>https://github.com/smlbiobot/cr-csv/blob/master/assets/csv_logic/characters.csv
https://github.com/smlbiobot/cr-csv/blob/master/assets/csv_logic/projectiles.csv</t>
        </is>
      </c>
      <c r="AB30" s="28" t="inlineStr">
        <is>
          <t>Updated: L11 HP/damage verified.</t>
        </is>
      </c>
      <c r="AC30" s="41" t="inlineStr">
        <is>
          <t>N/A</t>
        </is>
      </c>
      <c r="AD30" s="28" t="inlineStr">
        <is>
          <t>Single-target / no splash or AoE</t>
        </is>
      </c>
      <c r="AE30" s="46" t="n">
        <v>1.1</v>
      </c>
      <c r="AF30" s="46" t="n">
        <v>0.9</v>
      </c>
      <c r="AG30" s="46" t="inlineStr">
        <is>
          <t>N/A</t>
        </is>
      </c>
    </row>
    <row r="31" ht="36" customHeight="1" s="31">
      <c r="A31" s="45" t="n">
        <v>30</v>
      </c>
      <c r="B31" s="22" t="inlineStr">
        <is>
          <t>Guards</t>
        </is>
      </c>
      <c r="C31" s="22" t="inlineStr">
        <is>
          <t>Troop</t>
        </is>
      </c>
      <c r="D31" s="22" t="inlineStr">
        <is>
          <t>Epic</t>
        </is>
      </c>
      <c r="E31" s="45" t="n">
        <v>3</v>
      </c>
      <c r="F31" s="28" t="inlineStr">
        <is>
          <t>3</t>
        </is>
      </c>
      <c r="G31" s="28" t="inlineStr">
        <is>
          <t>Ground</t>
        </is>
      </c>
      <c r="H31" s="28" t="inlineStr">
        <is>
          <t>Fast</t>
        </is>
      </c>
      <c r="I31" s="39" t="n">
        <v>90</v>
      </c>
      <c r="J31" s="28" t="inlineStr">
        <is>
          <t>1.6</t>
        </is>
      </c>
      <c r="K31" s="28" t="n">
        <v>1</v>
      </c>
      <c r="L31" s="28" t="inlineStr">
        <is>
          <t>1.0</t>
        </is>
      </c>
      <c r="M31" s="28" t="inlineStr">
        <is>
          <t>N/A</t>
        </is>
      </c>
      <c r="N31" s="28" t="inlineStr">
        <is>
          <t>81 + 256 shield</t>
        </is>
      </c>
      <c r="O31" s="28" t="inlineStr">
        <is>
          <t>256 per Guard</t>
        </is>
      </c>
      <c r="P31" s="28" t="inlineStr">
        <is>
          <t>117 per Guard</t>
        </is>
      </c>
      <c r="Q31" s="28" t="inlineStr">
        <is>
          <t>See damage/effect note</t>
        </is>
      </c>
      <c r="R31" s="28" t="inlineStr">
        <is>
          <t>Melee / no projectile</t>
        </is>
      </c>
      <c r="S31" s="28" t="inlineStr">
        <is>
          <t>—</t>
        </is>
      </c>
      <c r="T31" s="28" t="n">
        <v>1</v>
      </c>
      <c r="U31" s="28" t="n">
        <v>0.5</v>
      </c>
      <c r="V31" s="28" t="n">
        <v>5.5</v>
      </c>
      <c r="W31" s="28" t="inlineStr">
        <is>
          <t>Three shielded melee units with long melee range.</t>
        </is>
      </c>
      <c r="X31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31" s="28" t="inlineStr">
        <is>
          <t>https://www.deckshop.pro/card/stats
https://www.deckshop.pro/card/hitpoints
https://deckmelon.com/cards/guards
https://clashroyale.fandom.com/wiki/Guards</t>
        </is>
      </c>
      <c r="Z31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31" s="28" t="inlineStr">
        <is>
          <t>https://github.com/smlbiobot/cr-csv/blob/master/assets/csv_logic/characters.csv
https://github.com/smlbiobot/cr-csv/blob/master/assets/csv_logic/projectiles.csv</t>
        </is>
      </c>
      <c r="AB31" s="28" t="inlineStr">
        <is>
          <t>Current L11 from Deckmelon.</t>
        </is>
      </c>
      <c r="AC31" s="41" t="inlineStr">
        <is>
          <t>N/A</t>
        </is>
      </c>
      <c r="AD31" s="28" t="inlineStr">
        <is>
          <t>Single-target / no splash or AoE</t>
        </is>
      </c>
      <c r="AE31" s="46" t="n">
        <v>0.4</v>
      </c>
      <c r="AF31" s="46" t="n">
        <v>0.6</v>
      </c>
      <c r="AG31" s="46" t="inlineStr">
        <is>
          <t>N/A</t>
        </is>
      </c>
    </row>
    <row r="32" ht="36" customHeight="1" s="31">
      <c r="A32" s="45" t="n">
        <v>31</v>
      </c>
      <c r="B32" s="22" t="inlineStr">
        <is>
          <t>Baby Dragon</t>
        </is>
      </c>
      <c r="C32" s="22" t="inlineStr">
        <is>
          <t>Troop</t>
        </is>
      </c>
      <c r="D32" s="22" t="inlineStr">
        <is>
          <t>Epic</t>
        </is>
      </c>
      <c r="E32" s="45" t="n">
        <v>4</v>
      </c>
      <c r="F32" s="28" t="inlineStr">
        <is>
          <t>1</t>
        </is>
      </c>
      <c r="G32" s="28" t="inlineStr">
        <is>
          <t>Air &amp; ground</t>
        </is>
      </c>
      <c r="H32" s="28" t="inlineStr">
        <is>
          <t>Fast</t>
        </is>
      </c>
      <c r="I32" s="39" t="n">
        <v>90</v>
      </c>
      <c r="J32" s="28" t="inlineStr">
        <is>
          <t>3.5</t>
        </is>
      </c>
      <c r="K32" s="28" t="n">
        <v>1.5</v>
      </c>
      <c r="L32" s="28" t="inlineStr">
        <is>
          <t>1.0</t>
        </is>
      </c>
      <c r="M32" s="28" t="inlineStr">
        <is>
          <t>N/A</t>
        </is>
      </c>
      <c r="N32" s="28" t="inlineStr">
        <is>
          <t>1,152</t>
        </is>
      </c>
      <c r="O32" s="28" t="n"/>
      <c r="P32" s="28" t="inlineStr">
        <is>
          <t>161 area</t>
        </is>
      </c>
      <c r="Q32" s="28" t="inlineStr">
        <is>
          <t>See damage/effect note</t>
        </is>
      </c>
      <c r="R32" s="28" t="inlineStr">
        <is>
          <t>BabyDragonProjectile</t>
        </is>
      </c>
      <c r="S32" s="28" t="inlineStr">
        <is>
          <t>1000 attack</t>
        </is>
      </c>
      <c r="T32" s="28" t="n">
        <v>5</v>
      </c>
      <c r="U32" s="28" t="n">
        <v>0.5</v>
      </c>
      <c r="V32" s="28" t="n">
        <v>5.5</v>
      </c>
      <c r="W32" s="28" t="inlineStr">
        <is>
          <t>Flying splash attacker; air/ground.</t>
        </is>
      </c>
      <c r="X32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32" s="28" t="inlineStr">
        <is>
          <t>https://www.deckshop.pro/card/stats
https://www.deckshop.pro/card/hitpoints
https://deckmelon.com/cards/baby-dragon
https://clashroyale.fandom.com/wiki/Baby_Dragon
https://www.deckshop.pro/card/detail/baby-dragon</t>
        </is>
      </c>
      <c r="Z32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32" s="28" t="inlineStr">
        <is>
          <t>https://github.com/smlbiobot/cr-csv/blob/master/assets/csv_logic/characters.csv
https://github.com/smlbiobot/cr-csv/blob/master/assets/csv_logic/projectiles.csv</t>
        </is>
      </c>
      <c r="AB32" s="28" t="inlineStr">
        <is>
          <t>Updated: L11 HP/damage verified; splash radius added.</t>
        </is>
      </c>
      <c r="AC32" s="41" t="inlineStr">
        <is>
          <t>1.2</t>
        </is>
      </c>
      <c r="AD32" s="41" t="inlineStr">
        <is>
          <t>Homing projectile splash</t>
        </is>
      </c>
      <c r="AE32" s="46" t="n">
        <v>0.3</v>
      </c>
      <c r="AF32" s="46" t="n">
        <v>1.2</v>
      </c>
      <c r="AG32" s="46" t="inlineStr">
        <is>
          <t>N/A</t>
        </is>
      </c>
    </row>
    <row r="33" ht="36" customHeight="1" s="31">
      <c r="A33" s="45" t="n">
        <v>32</v>
      </c>
      <c r="B33" s="22" t="inlineStr">
        <is>
          <t>Skeleton Army</t>
        </is>
      </c>
      <c r="C33" s="22" t="inlineStr">
        <is>
          <t>Troop</t>
        </is>
      </c>
      <c r="D33" s="22" t="inlineStr">
        <is>
          <t>Epic</t>
        </is>
      </c>
      <c r="E33" s="45" t="n">
        <v>3</v>
      </c>
      <c r="F33" s="28" t="inlineStr">
        <is>
          <t>15</t>
        </is>
      </c>
      <c r="G33" s="28" t="inlineStr">
        <is>
          <t>Ground</t>
        </is>
      </c>
      <c r="H33" s="28" t="inlineStr">
        <is>
          <t>N/A</t>
        </is>
      </c>
      <c r="I33" s="39" t="inlineStr">
        <is>
          <t>N/A</t>
        </is>
      </c>
      <c r="J33" s="28" t="inlineStr">
        <is>
          <t>0.5</t>
        </is>
      </c>
      <c r="K33" s="28" t="n">
        <v>1</v>
      </c>
      <c r="L33" s="28" t="inlineStr">
        <is>
          <t>1.0</t>
        </is>
      </c>
      <c r="M33" s="28" t="inlineStr">
        <is>
          <t>N/A</t>
        </is>
      </c>
      <c r="N33" s="28" t="inlineStr">
        <is>
          <t>81 per Skeleton</t>
        </is>
      </c>
      <c r="O33" s="28" t="n"/>
      <c r="P33" s="28" t="inlineStr">
        <is>
          <t>81 per Skeleton</t>
        </is>
      </c>
      <c r="Q33" s="28" t="inlineStr">
        <is>
          <t>See damage/effect note</t>
        </is>
      </c>
      <c r="R33" s="28" t="inlineStr">
        <is>
          <t>Melee / no projectile</t>
        </is>
      </c>
      <c r="S33" s="28" t="inlineStr">
        <is>
          <t>—</t>
        </is>
      </c>
      <c r="T33" s="28" t="inlineStr">
        <is>
          <t>1 per spawned unit</t>
        </is>
      </c>
      <c r="U33" s="28" t="n">
        <v>0.5</v>
      </c>
      <c r="V33" s="28" t="n">
        <v>5.5</v>
      </c>
      <c r="W33" s="28" t="inlineStr">
        <is>
          <t>Large swarm of Skeletons; high distraction/DPS.</t>
        </is>
      </c>
      <c r="X33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33" s="28" t="inlineStr">
        <is>
          <t>https://www.deckshop.pro/card/stats
https://www.deckshop.pro/card/hitpoints
https://deckmelon.com/cards/skeleton-army
https://clashroyale.fandom.com/wiki/Skeleton_Army</t>
        </is>
      </c>
      <c r="Z33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33" s="28" t="inlineStr">
        <is>
          <t>https://github.com/smlbiobot/cr-csv/blob/master/assets/csv_logic/characters.csv
https://github.com/smlbiobot/cr-csv/blob/master/assets/csv_logic/projectiles.csv</t>
        </is>
      </c>
      <c r="AB33" s="28" t="inlineStr">
        <is>
          <t>Same as Skeletons; 15 total.</t>
        </is>
      </c>
      <c r="AC33" s="41" t="inlineStr">
        <is>
          <t>N/A</t>
        </is>
      </c>
      <c r="AD33" s="28" t="inlineStr">
        <is>
          <t>Single-target / no splash or AoE</t>
        </is>
      </c>
      <c r="AE33" s="46" t="n">
        <v>0.5</v>
      </c>
      <c r="AF33" s="46" t="n">
        <v>0.5</v>
      </c>
      <c r="AG33" s="46" t="inlineStr">
        <is>
          <t>N/A</t>
        </is>
      </c>
    </row>
    <row r="34" ht="36" customHeight="1" s="31">
      <c r="A34" s="45" t="n">
        <v>33</v>
      </c>
      <c r="B34" s="22" t="inlineStr">
        <is>
          <t>Witch</t>
        </is>
      </c>
      <c r="C34" s="22" t="inlineStr">
        <is>
          <t>Troop</t>
        </is>
      </c>
      <c r="D34" s="22" t="inlineStr">
        <is>
          <t>Epic</t>
        </is>
      </c>
      <c r="E34" s="45" t="n">
        <v>5</v>
      </c>
      <c r="F34" s="28" t="inlineStr">
        <is>
          <t>1 + Skeleton spawns</t>
        </is>
      </c>
      <c r="G34" s="28" t="inlineStr">
        <is>
          <t>Air &amp; ground</t>
        </is>
      </c>
      <c r="H34" s="28" t="inlineStr">
        <is>
          <t>Medium</t>
        </is>
      </c>
      <c r="I34" s="39" t="n">
        <v>60</v>
      </c>
      <c r="J34" s="28" t="inlineStr">
        <is>
          <t>5.5</t>
        </is>
      </c>
      <c r="K34" s="28" t="n">
        <v>1.1</v>
      </c>
      <c r="L34" s="28" t="inlineStr">
        <is>
          <t>1.0</t>
        </is>
      </c>
      <c r="M34" s="28" t="inlineStr">
        <is>
          <t>N/A</t>
        </is>
      </c>
      <c r="N34" s="28" t="inlineStr">
        <is>
          <t>839; Skeletons 81 HP</t>
        </is>
      </c>
      <c r="O34" s="28" t="n"/>
      <c r="P34" s="28" t="inlineStr">
        <is>
          <t>135 area; Skeletons 81 damage</t>
        </is>
      </c>
      <c r="Q34" s="28" t="inlineStr">
        <is>
          <t>See damage/effect note</t>
        </is>
      </c>
      <c r="R34" s="28" t="inlineStr">
        <is>
          <t>Attack projectile</t>
        </is>
      </c>
      <c r="S34" s="28" t="inlineStr">
        <is>
          <t>600 attack</t>
        </is>
      </c>
      <c r="T34" s="28" t="n">
        <v>8</v>
      </c>
      <c r="U34" s="28" t="n">
        <v>0.5</v>
      </c>
      <c r="V34" s="28" t="n">
        <v>5.5</v>
      </c>
      <c r="W34" s="28" t="inlineStr">
        <is>
          <t>Splash support that periodically summons Skeletons.</t>
        </is>
      </c>
      <c r="X34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34" s="28" t="inlineStr">
        <is>
          <t>https://www.deckshop.pro/card/stats
https://www.deckshop.pro/card/hitpoints
https://deckmelon.com/cards/witch
https://clashroyale.fandom.com/wiki/Witch
https://www.deckshop.pro/card/detail/witch</t>
        </is>
      </c>
      <c r="Z34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34" s="28" t="inlineStr">
        <is>
          <t>https://github.com/smlbiobot/cr-csv/blob/master/assets/csv_logic/characters.csv
https://github.com/smlbiobot/cr-csv/blob/master/assets/csv_logic/projectiles.csv</t>
        </is>
      </c>
      <c r="AB34" s="28" t="inlineStr">
        <is>
          <t>Updated: L11 Witch and spawned Skeleton stats verified.</t>
        </is>
      </c>
      <c r="AC34" s="41" t="inlineStr">
        <is>
          <t>1.0</t>
        </is>
      </c>
      <c r="AD34" s="28" t="inlineStr">
        <is>
          <t>Non-homing projectile splash</t>
        </is>
      </c>
      <c r="AE34" s="46" t="n">
        <v>0.7</v>
      </c>
      <c r="AF34" s="46" t="n">
        <v>0.4</v>
      </c>
      <c r="AG34" s="46" t="inlineStr">
        <is>
          <t>N/A</t>
        </is>
      </c>
    </row>
    <row r="35" ht="36" customHeight="1" s="31">
      <c r="A35" s="45" t="n">
        <v>34</v>
      </c>
      <c r="B35" s="22" t="inlineStr">
        <is>
          <t>P.E.K.K.A</t>
        </is>
      </c>
      <c r="C35" s="22" t="inlineStr">
        <is>
          <t>Troop</t>
        </is>
      </c>
      <c r="D35" s="22" t="inlineStr">
        <is>
          <t>Epic</t>
        </is>
      </c>
      <c r="E35" s="45" t="n">
        <v>7</v>
      </c>
      <c r="F35" s="28" t="inlineStr">
        <is>
          <t>1</t>
        </is>
      </c>
      <c r="G35" s="28" t="inlineStr">
        <is>
          <t>Ground</t>
        </is>
      </c>
      <c r="H35" s="28" t="inlineStr">
        <is>
          <t>Slow</t>
        </is>
      </c>
      <c r="I35" s="39" t="n">
        <v>45</v>
      </c>
      <c r="J35" s="28" t="inlineStr">
        <is>
          <t>1.2</t>
        </is>
      </c>
      <c r="K35" s="28" t="n">
        <v>1.8</v>
      </c>
      <c r="L35" s="28" t="inlineStr">
        <is>
          <t>1.0</t>
        </is>
      </c>
      <c r="M35" s="28" t="inlineStr">
        <is>
          <t>N/A</t>
        </is>
      </c>
      <c r="N35" s="28" t="inlineStr">
        <is>
          <t>3,760</t>
        </is>
      </c>
      <c r="O35" s="28" t="n"/>
      <c r="P35" s="28" t="inlineStr">
        <is>
          <t>816</t>
        </is>
      </c>
      <c r="Q35" s="28" t="inlineStr">
        <is>
          <t>See damage/effect note</t>
        </is>
      </c>
      <c r="R35" s="28" t="inlineStr">
        <is>
          <t>Melee / no projectile</t>
        </is>
      </c>
      <c r="S35" s="28" t="inlineStr">
        <is>
          <t>—</t>
        </is>
      </c>
      <c r="T35" s="28" t="n">
        <v>18</v>
      </c>
      <c r="U35" s="28" t="n">
        <v>0.75</v>
      </c>
      <c r="V35" s="28" t="n">
        <v>5</v>
      </c>
      <c r="W35" s="28" t="inlineStr">
        <is>
          <t>Slow heavy single-target ground damage.</t>
        </is>
      </c>
      <c r="X35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35" s="28" t="inlineStr">
        <is>
          <t>https://www.deckshop.pro/card/stats
https://www.deckshop.pro/card/hitpoints
https://deckmelon.com/cards/pekka
https://clashroyale.fandom.com/wiki/P.E.K.K.A</t>
        </is>
      </c>
      <c r="Z35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35" s="28" t="inlineStr">
        <is>
          <t>https://github.com/smlbiobot/cr-csv/blob/master/assets/csv_logic/characters.csv
https://github.com/smlbiobot/cr-csv/blob/master/assets/csv_logic/projectiles.csv</t>
        </is>
      </c>
      <c r="AB35" s="28" t="inlineStr">
        <is>
          <t>Current L11 from Deckmelon.</t>
        </is>
      </c>
      <c r="AC35" s="41" t="inlineStr">
        <is>
          <t>N/A</t>
        </is>
      </c>
      <c r="AD35" s="28" t="inlineStr">
        <is>
          <t>Single-target / no splash or AoE</t>
        </is>
      </c>
      <c r="AE35" s="46" t="n">
        <v>0.5</v>
      </c>
      <c r="AF35" s="46" t="n">
        <v>1.3</v>
      </c>
      <c r="AG35" s="46" t="inlineStr">
        <is>
          <t>N/A</t>
        </is>
      </c>
    </row>
    <row r="36" ht="36" customHeight="1" s="31">
      <c r="A36" s="45" t="n">
        <v>35</v>
      </c>
      <c r="B36" s="22" t="inlineStr">
        <is>
          <t>Dark Prince</t>
        </is>
      </c>
      <c r="C36" s="22" t="inlineStr">
        <is>
          <t>Troop</t>
        </is>
      </c>
      <c r="D36" s="22" t="inlineStr">
        <is>
          <t>Epic</t>
        </is>
      </c>
      <c r="E36" s="45" t="n">
        <v>4</v>
      </c>
      <c r="F36" s="28" t="inlineStr">
        <is>
          <t>1</t>
        </is>
      </c>
      <c r="G36" s="28" t="inlineStr">
        <is>
          <t>Ground</t>
        </is>
      </c>
      <c r="H36" s="28" t="inlineStr">
        <is>
          <t>Medium</t>
        </is>
      </c>
      <c r="I36" s="39" t="n">
        <v>60</v>
      </c>
      <c r="J36" s="28" t="inlineStr">
        <is>
          <t>1.2</t>
        </is>
      </c>
      <c r="K36" s="28" t="n">
        <v>1.3</v>
      </c>
      <c r="L36" s="28" t="inlineStr">
        <is>
          <t>1.0</t>
        </is>
      </c>
      <c r="M36" s="28" t="inlineStr">
        <is>
          <t>N/A</t>
        </is>
      </c>
      <c r="N36" s="28" t="inlineStr">
        <is>
          <t>1,200 + 240 shield</t>
        </is>
      </c>
      <c r="O36" s="28" t="inlineStr">
        <is>
          <t>240</t>
        </is>
      </c>
      <c r="P36" s="28" t="inlineStr">
        <is>
          <t>266 area / charge doubles</t>
        </is>
      </c>
      <c r="Q36" s="28" t="inlineStr">
        <is>
          <t>See damage/effect note</t>
        </is>
      </c>
      <c r="R36" s="28" t="inlineStr">
        <is>
          <t>Melee / no projectile</t>
        </is>
      </c>
      <c r="S36" s="28" t="inlineStr">
        <is>
          <t>—</t>
        </is>
      </c>
      <c r="T36" s="28" t="n">
        <v>6</v>
      </c>
      <c r="U36" s="28" t="n">
        <v>0.75</v>
      </c>
      <c r="V36" s="28" t="n">
        <v>5.5</v>
      </c>
      <c r="W36" s="28" t="inlineStr">
        <is>
          <t>Shielded splash charger; charge damage doubles.</t>
        </is>
      </c>
      <c r="X36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36" s="28" t="inlineStr">
        <is>
          <t>https://www.deckshop.pro/card/stats
https://www.deckshop.pro/card/hitpoints
https://deckmelon.com/cards/dark-prince
https://clashroyale.fandom.com/wiki/Dark_Prince</t>
        </is>
      </c>
      <c r="Z36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36" s="28" t="inlineStr">
        <is>
          <t>https://github.com/smlbiobot/cr-csv/blob/master/assets/csv_logic/characters.csv
https://github.com/smlbiobot/cr-csv/blob/master/assets/csv_logic/projectiles.csv</t>
        </is>
      </c>
      <c r="AB36" s="28" t="inlineStr">
        <is>
          <t>Current L11 from Deckshop snippet.</t>
        </is>
      </c>
      <c r="AC36" s="41" t="inlineStr">
        <is>
          <t>1.1 regular / 2.2 charge</t>
        </is>
      </c>
      <c r="AD36" s="28" t="inlineStr">
        <is>
          <t>Regular splash / 360° charge splash</t>
        </is>
      </c>
      <c r="AE36" s="29" t="inlineStr">
        <is>
          <t>0.4 regular / 0 charged</t>
        </is>
      </c>
      <c r="AF36" s="29" t="inlineStr">
        <is>
          <t>0.9 regular / 1.3 charged</t>
        </is>
      </c>
      <c r="AG36" s="29" t="inlineStr">
        <is>
          <t>N/A</t>
        </is>
      </c>
    </row>
    <row r="37" ht="36" customHeight="1" s="31">
      <c r="A37" s="45" t="n">
        <v>36</v>
      </c>
      <c r="B37" s="22" t="inlineStr">
        <is>
          <t>Prince</t>
        </is>
      </c>
      <c r="C37" s="22" t="inlineStr">
        <is>
          <t>Troop</t>
        </is>
      </c>
      <c r="D37" s="22" t="inlineStr">
        <is>
          <t>Epic</t>
        </is>
      </c>
      <c r="E37" s="45" t="n">
        <v>5</v>
      </c>
      <c r="F37" s="28" t="inlineStr">
        <is>
          <t>1</t>
        </is>
      </c>
      <c r="G37" s="28" t="inlineStr">
        <is>
          <t>Ground</t>
        </is>
      </c>
      <c r="H37" s="28" t="inlineStr">
        <is>
          <t>Medium</t>
        </is>
      </c>
      <c r="I37" s="39" t="n">
        <v>60</v>
      </c>
      <c r="J37" s="28" t="inlineStr">
        <is>
          <t>1.6</t>
        </is>
      </c>
      <c r="K37" s="28" t="n">
        <v>1.4</v>
      </c>
      <c r="L37" s="28" t="inlineStr">
        <is>
          <t>1.0</t>
        </is>
      </c>
      <c r="M37" s="28" t="inlineStr">
        <is>
          <t>N/A</t>
        </is>
      </c>
      <c r="N37" s="28" t="inlineStr">
        <is>
          <t>1,920</t>
        </is>
      </c>
      <c r="O37" s="28" t="n"/>
      <c r="P37" s="28" t="inlineStr">
        <is>
          <t>391 / 783 charge</t>
        </is>
      </c>
      <c r="Q37" s="28" t="inlineStr">
        <is>
          <t>See damage/effect note</t>
        </is>
      </c>
      <c r="R37" s="28" t="inlineStr">
        <is>
          <t>Melee / no projectile</t>
        </is>
      </c>
      <c r="S37" s="28" t="inlineStr">
        <is>
          <t>—</t>
        </is>
      </c>
      <c r="T37" s="28" t="n">
        <v>6</v>
      </c>
      <c r="U37" s="28" t="n">
        <v>0.65</v>
      </c>
      <c r="V37" s="28" t="n">
        <v>5.5</v>
      </c>
      <c r="W37" s="28" t="inlineStr">
        <is>
          <t>Single-target charger; charge damage doubles.</t>
        </is>
      </c>
      <c r="X37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37" s="28" t="inlineStr">
        <is>
          <t>https://www.deckshop.pro/card/stats
https://www.deckshop.pro/card/hitpoints
https://deckmelon.com/cards/prince
https://clashroyale.fandom.com/wiki/Prince
https://www.deckshop.pro/card/detail/prince</t>
        </is>
      </c>
      <c r="Z37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37" s="28" t="inlineStr">
        <is>
          <t>https://github.com/smlbiobot/cr-csv/blob/master/assets/csv_logic/characters.csv
https://github.com/smlbiobot/cr-csv/blob/master/assets/csv_logic/projectiles.csv</t>
        </is>
      </c>
      <c r="AB37" s="28" t="inlineStr">
        <is>
          <t>Updated: L11 HP/damage and charge damage verified.</t>
        </is>
      </c>
      <c r="AC37" s="41" t="inlineStr">
        <is>
          <t>N/A</t>
        </is>
      </c>
      <c r="AD37" s="28" t="inlineStr">
        <is>
          <t>Single-target / no splash or AoE</t>
        </is>
      </c>
      <c r="AE37" s="29" t="inlineStr">
        <is>
          <t>0.5 uncharged / 0 charged</t>
        </is>
      </c>
      <c r="AF37" s="29" t="inlineStr">
        <is>
          <t>0.9 uncharged / 1.4 charged</t>
        </is>
      </c>
      <c r="AG37" s="29" t="inlineStr">
        <is>
          <t>N/A</t>
        </is>
      </c>
    </row>
    <row r="38" ht="36" customHeight="1" s="31">
      <c r="A38" s="45" t="n">
        <v>37</v>
      </c>
      <c r="B38" s="22" t="inlineStr">
        <is>
          <t>Balloon</t>
        </is>
      </c>
      <c r="C38" s="22" t="inlineStr">
        <is>
          <t>Troop</t>
        </is>
      </c>
      <c r="D38" s="22" t="inlineStr">
        <is>
          <t>Epic</t>
        </is>
      </c>
      <c r="E38" s="45" t="n">
        <v>5</v>
      </c>
      <c r="F38" s="28" t="inlineStr">
        <is>
          <t>1</t>
        </is>
      </c>
      <c r="G38" s="28" t="inlineStr">
        <is>
          <t>Buildings</t>
        </is>
      </c>
      <c r="H38" s="28" t="inlineStr">
        <is>
          <t>Medium</t>
        </is>
      </c>
      <c r="I38" s="39" t="n">
        <v>60</v>
      </c>
      <c r="J38" s="28" t="inlineStr">
        <is>
          <t>0.1</t>
        </is>
      </c>
      <c r="K38" s="28" t="n">
        <v>2</v>
      </c>
      <c r="L38" s="28" t="inlineStr">
        <is>
          <t>1.0</t>
        </is>
      </c>
      <c r="M38" s="28" t="inlineStr">
        <is>
          <t>N/A</t>
        </is>
      </c>
      <c r="N38" s="28" t="inlineStr">
        <is>
          <t>1,679</t>
        </is>
      </c>
      <c r="O38" s="28" t="n"/>
      <c r="P38" s="28" t="inlineStr">
        <is>
          <t>640 building damage; 240 death damage</t>
        </is>
      </c>
      <c r="Q38" s="28" t="inlineStr">
        <is>
          <t>See damage/effect note</t>
        </is>
      </c>
      <c r="R38" s="28" t="inlineStr">
        <is>
          <t>Melee / no projectile</t>
        </is>
      </c>
      <c r="S38" s="28" t="inlineStr">
        <is>
          <t>—</t>
        </is>
      </c>
      <c r="T38" s="28" t="n">
        <v>6</v>
      </c>
      <c r="U38" s="28" t="n">
        <v>0.3</v>
      </c>
      <c r="V38" s="28" t="n">
        <v>7.7</v>
      </c>
      <c r="W38" s="28" t="inlineStr">
        <is>
          <t>Flying building-targeter; high hit damage and death bomb.</t>
        </is>
      </c>
      <c r="X38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38" s="28" t="inlineStr">
        <is>
          <t>https://www.deckshop.pro/card/stats
https://www.deckshop.pro/card/hitpoints
https://deckmelon.com/cards/balloon
https://clashroyale.fandom.com/wiki/Balloon
https://www.deckshop.pro/card/detail/balloon</t>
        </is>
      </c>
      <c r="Z38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38" s="28" t="inlineStr">
        <is>
          <t>https://github.com/smlbiobot/cr-csv/blob/master/assets/csv_logic/characters.csv
https://github.com/smlbiobot/cr-csv/blob/master/assets/csv_logic/projectiles.csv</t>
        </is>
      </c>
      <c r="AB38" s="28" t="inlineStr">
        <is>
          <t>Updated: L11 HP/damage/death damage verified; death radius added.</t>
        </is>
      </c>
      <c r="AC38" s="41" t="inlineStr">
        <is>
          <t>3.0 death bomb</t>
        </is>
      </c>
      <c r="AD38" s="28" t="inlineStr">
        <is>
          <t>360° death bomb; main building hit is single target</t>
        </is>
      </c>
      <c r="AE38" s="46" t="n">
        <v>0.2</v>
      </c>
      <c r="AF38" s="46" t="n">
        <v>2.8</v>
      </c>
      <c r="AG38" s="46" t="inlineStr">
        <is>
          <t>N/A</t>
        </is>
      </c>
    </row>
    <row r="39" ht="36" customHeight="1" s="31">
      <c r="A39" s="45" t="n">
        <v>38</v>
      </c>
      <c r="B39" s="22" t="inlineStr">
        <is>
          <t>Giant Skeleton</t>
        </is>
      </c>
      <c r="C39" s="22" t="inlineStr">
        <is>
          <t>Troop</t>
        </is>
      </c>
      <c r="D39" s="22" t="inlineStr">
        <is>
          <t>Epic</t>
        </is>
      </c>
      <c r="E39" s="45" t="n">
        <v>6</v>
      </c>
      <c r="F39" s="28" t="inlineStr">
        <is>
          <t>1</t>
        </is>
      </c>
      <c r="G39" s="28" t="inlineStr">
        <is>
          <t>Ground</t>
        </is>
      </c>
      <c r="H39" s="28" t="inlineStr">
        <is>
          <t>Medium</t>
        </is>
      </c>
      <c r="I39" s="39" t="n">
        <v>60</v>
      </c>
      <c r="J39" s="28" t="inlineStr">
        <is>
          <t>0.8</t>
        </is>
      </c>
      <c r="K39" s="28" t="n">
        <v>1.4</v>
      </c>
      <c r="L39" s="28" t="inlineStr">
        <is>
          <t>1.0</t>
        </is>
      </c>
      <c r="M39" s="28" t="inlineStr">
        <is>
          <t>N/A</t>
        </is>
      </c>
      <c r="N39" s="28" t="inlineStr">
        <is>
          <t>3,617</t>
        </is>
      </c>
      <c r="O39" s="28" t="n"/>
      <c r="P39" s="28" t="inlineStr">
        <is>
          <t>276 + 535 death damage</t>
        </is>
      </c>
      <c r="Q39" s="28" t="inlineStr">
        <is>
          <t>See damage/effect note</t>
        </is>
      </c>
      <c r="R39" s="28" t="inlineStr">
        <is>
          <t>Melee / no projectile</t>
        </is>
      </c>
      <c r="S39" s="28" t="inlineStr">
        <is>
          <t>—</t>
        </is>
      </c>
      <c r="T39" s="28" t="n">
        <v>18</v>
      </c>
      <c r="U39" s="28" t="n">
        <v>1</v>
      </c>
      <c r="V39" s="28" t="n">
        <v>5</v>
      </c>
      <c r="W39" s="28" t="inlineStr">
        <is>
          <t>Carries death bomb; heavy ground body.</t>
        </is>
      </c>
      <c r="X39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39" s="28" t="inlineStr">
        <is>
          <t>https://www.deckshop.pro/card/stats
https://www.deckshop.pro/card/hitpoints
https://deckmelon.com/cards/giant-skeleton
https://clashroyale.fandom.com/wiki/Giant_Skeleton</t>
        </is>
      </c>
      <c r="Z39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39" s="28" t="inlineStr">
        <is>
          <t>https://github.com/smlbiobot/cr-csv/blob/master/assets/csv_logic/characters.csv
https://github.com/smlbiobot/cr-csv/blob/master/assets/csv_logic/projectiles.csv</t>
        </is>
      </c>
      <c r="AB39" s="28" t="inlineStr">
        <is>
          <t>Current L11 from Deckmelon.</t>
        </is>
      </c>
      <c r="AC39" s="41" t="inlineStr">
        <is>
          <t>3.0 death bomb</t>
        </is>
      </c>
      <c r="AD39" s="41" t="inlineStr">
        <is>
          <t>360° death bomb</t>
        </is>
      </c>
      <c r="AE39" s="46" t="n">
        <v>0.3</v>
      </c>
      <c r="AF39" s="46" t="n">
        <v>1.2</v>
      </c>
      <c r="AG39" s="46" t="inlineStr">
        <is>
          <t>1.8 death bomb</t>
        </is>
      </c>
    </row>
    <row r="40" ht="36" customHeight="1" s="31">
      <c r="A40" s="45" t="n">
        <v>39</v>
      </c>
      <c r="B40" s="22" t="inlineStr">
        <is>
          <t>Hunter</t>
        </is>
      </c>
      <c r="C40" s="22" t="inlineStr">
        <is>
          <t>Troop</t>
        </is>
      </c>
      <c r="D40" s="22" t="inlineStr">
        <is>
          <t>Epic</t>
        </is>
      </c>
      <c r="E40" s="45" t="n">
        <v>4</v>
      </c>
      <c r="F40" s="28" t="inlineStr">
        <is>
          <t>1</t>
        </is>
      </c>
      <c r="G40" s="28" t="inlineStr">
        <is>
          <t>Air &amp; ground</t>
        </is>
      </c>
      <c r="H40" s="28" t="inlineStr">
        <is>
          <t>Medium</t>
        </is>
      </c>
      <c r="I40" s="39" t="n">
        <v>60</v>
      </c>
      <c r="J40" s="28" t="inlineStr">
        <is>
          <t>4.0</t>
        </is>
      </c>
      <c r="K40" s="28" t="n">
        <v>2.2</v>
      </c>
      <c r="L40" s="28" t="inlineStr">
        <is>
          <t>1.0</t>
        </is>
      </c>
      <c r="M40" s="28" t="inlineStr">
        <is>
          <t>N/A</t>
        </is>
      </c>
      <c r="N40" s="28" t="inlineStr">
        <is>
          <t>885</t>
        </is>
      </c>
      <c r="O40" s="28" t="n"/>
      <c r="P40" s="28" t="inlineStr">
        <is>
          <t>84 ×10 pellets (840 max)</t>
        </is>
      </c>
      <c r="Q40" s="28" t="inlineStr">
        <is>
          <t>See damage/effect note</t>
        </is>
      </c>
      <c r="R40" s="28" t="inlineStr">
        <is>
          <t>Attack projectile</t>
        </is>
      </c>
      <c r="S40" s="28" t="inlineStr">
        <is>
          <t>550 attack</t>
        </is>
      </c>
      <c r="T40" s="28" t="n">
        <v>5</v>
      </c>
      <c r="U40" s="28" t="n">
        <v>0.6</v>
      </c>
      <c r="V40" s="28" t="n">
        <v>5.5</v>
      </c>
      <c r="W40" s="28" t="inlineStr">
        <is>
          <t>Shotgun spread; strongest at point blank.</t>
        </is>
      </c>
      <c r="X40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40" s="28" t="inlineStr">
        <is>
          <t>https://www.deckshop.pro/card/stats
https://www.deckshop.pro/card/hitpoints
https://deckmelon.com/cards/hunter
https://clashroyale.fandom.com/wiki/Hunter</t>
        </is>
      </c>
      <c r="Z40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40" s="28" t="inlineStr">
        <is>
          <t>https://github.com/smlbiobot/cr-csv/blob/master/assets/csv_logic/characters.csv
https://github.com/smlbiobot/cr-csv/blob/master/assets/csv_logic/projectiles.csv</t>
        </is>
      </c>
      <c r="AB40" s="28" t="inlineStr">
        <is>
          <t>Updated: L11 pellet damage and HP verified.</t>
        </is>
      </c>
      <c r="AC40" s="41" t="inlineStr">
        <is>
          <t>0.3 per pellet collision</t>
        </is>
      </c>
      <c r="AD40" s="28" t="inlineStr">
        <is>
          <t>Shotgun pellet collision/splash-like contact radius</t>
        </is>
      </c>
      <c r="AE40" s="46" t="n">
        <v>1.1</v>
      </c>
      <c r="AF40" s="46" t="n">
        <v>1.1</v>
      </c>
      <c r="AG40" s="46" t="inlineStr">
        <is>
          <t>N/A</t>
        </is>
      </c>
    </row>
    <row r="41" ht="36" customHeight="1" s="31">
      <c r="A41" s="45" t="n">
        <v>40</v>
      </c>
      <c r="B41" s="22" t="inlineStr">
        <is>
          <t>Golem</t>
        </is>
      </c>
      <c r="C41" s="22" t="inlineStr">
        <is>
          <t>Troop</t>
        </is>
      </c>
      <c r="D41" s="22" t="inlineStr">
        <is>
          <t>Epic</t>
        </is>
      </c>
      <c r="E41" s="45" t="n">
        <v>8</v>
      </c>
      <c r="F41" s="28" t="inlineStr">
        <is>
          <t>1 + 2 Golemites on death</t>
        </is>
      </c>
      <c r="G41" s="28" t="inlineStr">
        <is>
          <t>Buildings</t>
        </is>
      </c>
      <c r="H41" s="28" t="inlineStr">
        <is>
          <t>Slow</t>
        </is>
      </c>
      <c r="I41" s="39" t="n">
        <v>45</v>
      </c>
      <c r="J41" s="28" t="inlineStr">
        <is>
          <t>0.75</t>
        </is>
      </c>
      <c r="K41" s="28" t="n">
        <v>2.5</v>
      </c>
      <c r="L41" s="28" t="inlineStr">
        <is>
          <t>3.0</t>
        </is>
      </c>
      <c r="M41" s="28" t="inlineStr">
        <is>
          <t>N/A</t>
        </is>
      </c>
      <c r="N41" s="28" t="inlineStr">
        <is>
          <t>5,120 Golem; 1,039 per Golemite</t>
        </is>
      </c>
      <c r="O41" s="28" t="n"/>
      <c r="P41" s="28" t="inlineStr">
        <is>
          <t>312 Golem; 225 Golem death; 84 Golemite; 99 Golemite death</t>
        </is>
      </c>
      <c r="Q41" s="28" t="inlineStr">
        <is>
          <t>See damage/effect note</t>
        </is>
      </c>
      <c r="R41" s="28" t="inlineStr">
        <is>
          <t>Melee / no projectile</t>
        </is>
      </c>
      <c r="S41" s="28" t="inlineStr">
        <is>
          <t>—</t>
        </is>
      </c>
      <c r="T41" s="28" t="n">
        <v>20</v>
      </c>
      <c r="U41" s="28" t="n">
        <v>0.75</v>
      </c>
      <c r="V41" s="28" t="n">
        <v>7</v>
      </c>
      <c r="W41" s="28" t="inlineStr">
        <is>
          <t>Very heavy building-targeting tank; splits into Golemites.</t>
        </is>
      </c>
      <c r="X41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41" s="28" t="inlineStr">
        <is>
          <t>https://www.deckshop.pro/card/stats
https://www.deckshop.pro/card/hitpoints
https://deckmelon.com/cards/golem
https://clashroyale.fandom.com/wiki/Golem
https://www.deckshop.pro/card/detail/golem</t>
        </is>
      </c>
      <c r="Z41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41" s="28" t="inlineStr">
        <is>
          <t>https://github.com/smlbiobot/cr-csv/blob/master/assets/csv_logic/characters.csv
https://github.com/smlbiobot/cr-csv/blob/master/assets/csv_logic/projectiles.csv</t>
        </is>
      </c>
      <c r="AB41" s="28" t="inlineStr">
        <is>
          <t>Updated: L11 Golem/Golemite component stats verified.</t>
        </is>
      </c>
      <c r="AC41" s="28" t="inlineStr">
        <is>
          <t>2.0 death; 2.0 Golemite death</t>
        </is>
      </c>
      <c r="AD41" s="28" t="inlineStr">
        <is>
          <t>Death AoE for Golem and Golemites</t>
        </is>
      </c>
      <c r="AE41" s="29" t="inlineStr">
        <is>
          <t>1.0 Golem / Golemites</t>
        </is>
      </c>
      <c r="AF41" s="46" t="n">
        <v>1.5</v>
      </c>
      <c r="AG41" s="46" t="inlineStr">
        <is>
          <t>1.8 Golem death / 0.9 Golemite death</t>
        </is>
      </c>
    </row>
    <row r="42" ht="36" customHeight="1" s="31">
      <c r="A42" s="45" t="n">
        <v>41</v>
      </c>
      <c r="B42" s="22" t="inlineStr">
        <is>
          <t>Bowler</t>
        </is>
      </c>
      <c r="C42" s="22" t="inlineStr">
        <is>
          <t>Troop</t>
        </is>
      </c>
      <c r="D42" s="22" t="inlineStr">
        <is>
          <t>Epic</t>
        </is>
      </c>
      <c r="E42" s="45" t="n">
        <v>5</v>
      </c>
      <c r="F42" s="28" t="inlineStr">
        <is>
          <t>1</t>
        </is>
      </c>
      <c r="G42" s="28" t="inlineStr">
        <is>
          <t>Ground</t>
        </is>
      </c>
      <c r="H42" s="28" t="inlineStr">
        <is>
          <t>Slow</t>
        </is>
      </c>
      <c r="I42" s="39" t="n">
        <v>45</v>
      </c>
      <c r="J42" s="28" t="inlineStr">
        <is>
          <t>4.0</t>
        </is>
      </c>
      <c r="K42" s="28" t="n">
        <v>2.5</v>
      </c>
      <c r="L42" s="28" t="inlineStr">
        <is>
          <t>1.0</t>
        </is>
      </c>
      <c r="M42" s="28" t="inlineStr">
        <is>
          <t>N/A</t>
        </is>
      </c>
      <c r="N42" s="28" t="inlineStr">
        <is>
          <t>2,081</t>
        </is>
      </c>
      <c r="O42" s="28" t="n"/>
      <c r="P42" s="28" t="inlineStr">
        <is>
          <t>289 area/pushback</t>
        </is>
      </c>
      <c r="Q42" s="28" t="inlineStr">
        <is>
          <t>See damage/effect note</t>
        </is>
      </c>
      <c r="R42" s="28" t="inlineStr">
        <is>
          <t>Bowler boulder</t>
        </is>
      </c>
      <c r="S42" s="28" t="inlineStr">
        <is>
          <t>170 boulder</t>
        </is>
      </c>
      <c r="T42" s="28" t="n">
        <v>18</v>
      </c>
      <c r="U42" s="28" t="n">
        <v>0.75</v>
      </c>
      <c r="V42" s="28" t="n">
        <v>4</v>
      </c>
      <c r="W42" s="28" t="inlineStr">
        <is>
          <t>Boulder rolls through ground units and knocks back.</t>
        </is>
      </c>
      <c r="X42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42" s="28" t="inlineStr">
        <is>
          <t>https://www.deckshop.pro/card/stats
https://www.deckshop.pro/card/hitpoints
https://deckmelon.com/cards/bowler
https://clashroyale.fandom.com/wiki/Bowler</t>
        </is>
      </c>
      <c r="Z42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42" s="28" t="inlineStr">
        <is>
          <t>https://github.com/smlbiobot/cr-csv/blob/master/assets/csv_logic/characters.csv
https://github.com/smlbiobot/cr-csv/blob/master/assets/csv_logic/projectiles.csv</t>
        </is>
      </c>
      <c r="AB42" s="28" t="inlineStr">
        <is>
          <t>Current L11 from Deckmelon.</t>
        </is>
      </c>
      <c r="AC42" s="41" t="inlineStr">
        <is>
          <t>1.0</t>
        </is>
      </c>
      <c r="AD42" s="28" t="inlineStr">
        <is>
          <t>Continuous rolling boulder splash</t>
        </is>
      </c>
      <c r="AE42" s="46" t="n">
        <v>0.5</v>
      </c>
      <c r="AF42" s="46" t="n">
        <v>2</v>
      </c>
      <c r="AG42" s="46" t="n">
        <v>1</v>
      </c>
    </row>
    <row r="43" ht="36" customHeight="1" s="31">
      <c r="A43" s="45" t="n">
        <v>42</v>
      </c>
      <c r="B43" s="22" t="inlineStr">
        <is>
          <t>Executioner</t>
        </is>
      </c>
      <c r="C43" s="22" t="inlineStr">
        <is>
          <t>Troop</t>
        </is>
      </c>
      <c r="D43" s="22" t="inlineStr">
        <is>
          <t>Epic</t>
        </is>
      </c>
      <c r="E43" s="45" t="n">
        <v>5</v>
      </c>
      <c r="F43" s="28" t="inlineStr">
        <is>
          <t>1</t>
        </is>
      </c>
      <c r="G43" s="28" t="inlineStr">
        <is>
          <t>Air &amp; ground</t>
        </is>
      </c>
      <c r="H43" s="28" t="inlineStr">
        <is>
          <t>Medium</t>
        </is>
      </c>
      <c r="I43" s="39" t="n">
        <v>60</v>
      </c>
      <c r="J43" s="28" t="inlineStr">
        <is>
          <t>4.5</t>
        </is>
      </c>
      <c r="K43" s="28" t="n">
        <v>2.4</v>
      </c>
      <c r="L43" s="28" t="inlineStr">
        <is>
          <t>1.0</t>
        </is>
      </c>
      <c r="M43" s="28" t="inlineStr">
        <is>
          <t>N/A</t>
        </is>
      </c>
      <c r="N43" s="28" t="inlineStr">
        <is>
          <t>1,280</t>
        </is>
      </c>
      <c r="O43" s="28" t="n"/>
      <c r="P43" s="28" t="inlineStr">
        <is>
          <t>179 ×2 path hits</t>
        </is>
      </c>
      <c r="Q43" s="28" t="inlineStr">
        <is>
          <t>See damage/effect note</t>
        </is>
      </c>
      <c r="R43" s="28" t="inlineStr">
        <is>
          <t>Executioner axe</t>
        </is>
      </c>
      <c r="S43" s="28" t="inlineStr">
        <is>
          <t>550 axe</t>
        </is>
      </c>
      <c r="T43" s="28" t="n">
        <v>4</v>
      </c>
      <c r="U43" s="28" t="n">
        <v>0.6</v>
      </c>
      <c r="V43" s="28" t="n">
        <v>5.5</v>
      </c>
      <c r="W43" s="28" t="inlineStr">
        <is>
          <t>Axe travels out and back, hitting twice in a line.</t>
        </is>
      </c>
      <c r="X43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43" s="28" t="inlineStr">
        <is>
          <t>https://www.deckshop.pro/card/stats
https://www.deckshop.pro/card/hitpoints
https://deckmelon.com/cards/executioner
https://clashroyale.fandom.com/wiki/Executioner
https://www.deckshop.pro/card/detail/executioner</t>
        </is>
      </c>
      <c r="Z43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43" s="28" t="inlineStr">
        <is>
          <t>https://github.com/smlbiobot/cr-csv/blob/master/assets/csv_logic/characters.csv
https://github.com/smlbiobot/cr-csv/blob/master/assets/csv_logic/projectiles.csv</t>
        </is>
      </c>
      <c r="AB43" s="28" t="inlineStr">
        <is>
          <t>Updated: L11 HP/damage verified; axe path radius added.</t>
        </is>
      </c>
      <c r="AC43" s="41" t="inlineStr">
        <is>
          <t>1.0</t>
        </is>
      </c>
      <c r="AD43" s="28" t="inlineStr">
        <is>
          <t>Continuous axe path splash, outbound and return</t>
        </is>
      </c>
      <c r="AE43" s="46" t="n">
        <v>0.5</v>
      </c>
      <c r="AF43" s="46" t="n">
        <v>0.4</v>
      </c>
      <c r="AG43" s="46" t="inlineStr">
        <is>
          <t>N/A</t>
        </is>
      </c>
    </row>
    <row r="44" ht="36" customHeight="1" s="31">
      <c r="A44" s="45" t="n">
        <v>43</v>
      </c>
      <c r="B44" s="22" t="inlineStr">
        <is>
          <t>Cannon Cart</t>
        </is>
      </c>
      <c r="C44" s="22" t="inlineStr">
        <is>
          <t>Troop</t>
        </is>
      </c>
      <c r="D44" s="22" t="inlineStr">
        <is>
          <t>Epic</t>
        </is>
      </c>
      <c r="E44" s="45" t="n">
        <v>5</v>
      </c>
      <c r="F44" s="28" t="inlineStr">
        <is>
          <t>1</t>
        </is>
      </c>
      <c r="G44" s="28" t="inlineStr">
        <is>
          <t>Ground</t>
        </is>
      </c>
      <c r="H44" s="28" t="inlineStr">
        <is>
          <t>Medium</t>
        </is>
      </c>
      <c r="I44" s="39" t="n">
        <v>60</v>
      </c>
      <c r="J44" s="28" t="inlineStr">
        <is>
          <t>5.5</t>
        </is>
      </c>
      <c r="K44" s="28" t="n">
        <v>1</v>
      </c>
      <c r="L44" s="28" t="inlineStr">
        <is>
          <t>1.0</t>
        </is>
      </c>
      <c r="M44" s="28" t="inlineStr">
        <is>
          <t>N/A</t>
        </is>
      </c>
      <c r="N44" s="28" t="inlineStr">
        <is>
          <t>1,809 total/cart state</t>
        </is>
      </c>
      <c r="O44" s="28" t="inlineStr">
        <is>
          <t>Included in HP/state transition</t>
        </is>
      </c>
      <c r="P44" s="28" t="inlineStr">
        <is>
          <t>212</t>
        </is>
      </c>
      <c r="Q44" s="28" t="inlineStr">
        <is>
          <t>See damage/effect note</t>
        </is>
      </c>
      <c r="R44" s="28" t="inlineStr">
        <is>
          <t>Attack projectile</t>
        </is>
      </c>
      <c r="S44" s="28" t="inlineStr">
        <is>
          <t>1000 attack</t>
        </is>
      </c>
      <c r="T44" s="28" t="n">
        <v>3</v>
      </c>
      <c r="U44" s="28" t="n">
        <v>0.6</v>
      </c>
      <c r="V44" s="28" t="inlineStr">
        <is>
          <t>6.0 first form / 5.5 broken cart</t>
        </is>
      </c>
      <c r="W44" s="28" t="inlineStr">
        <is>
          <t>Ranged cart becomes stationary building-like cannon after shield breaks.</t>
        </is>
      </c>
      <c r="X44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44" s="28" t="inlineStr">
        <is>
          <t>https://www.deckshop.pro/card/stats
https://www.deckshop.pro/card/hitpoints
https://deckmelon.com/cards/cannon-cart
https://clashroyale.fandom.com/wiki/Cannon_Cart
https://www.deckshop.pro/card/detail/cannon-cart</t>
        </is>
      </c>
      <c r="Z44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44" s="28" t="inlineStr">
        <is>
          <t>https://github.com/smlbiobot/cr-csv/blob/master/assets/csv_logic/characters.csv
https://github.com/smlbiobot/cr-csv/blob/master/assets/csv_logic/projectiles.csv</t>
        </is>
      </c>
      <c r="AB44" s="28" t="inlineStr">
        <is>
          <t>Updated: L11 HP/damage verified; shield/state note clarified.</t>
        </is>
      </c>
      <c r="AC44" s="41" t="inlineStr">
        <is>
          <t>N/A</t>
        </is>
      </c>
      <c r="AD44" s="28" t="inlineStr">
        <is>
          <t>Single-target / no splash or AoE</t>
        </is>
      </c>
      <c r="AE44" s="46" t="n">
        <v>0.6</v>
      </c>
      <c r="AF44" s="46" t="n">
        <v>0.4</v>
      </c>
      <c r="AG44" s="46" t="inlineStr">
        <is>
          <t>N/A</t>
        </is>
      </c>
    </row>
    <row r="45" ht="36" customHeight="1" s="31">
      <c r="A45" s="45" t="n">
        <v>44</v>
      </c>
      <c r="B45" s="22" t="inlineStr">
        <is>
          <t>Mega Knight</t>
        </is>
      </c>
      <c r="C45" s="22" t="inlineStr">
        <is>
          <t>Troop</t>
        </is>
      </c>
      <c r="D45" s="22" t="inlineStr">
        <is>
          <t>Legendary</t>
        </is>
      </c>
      <c r="E45" s="45" t="n">
        <v>7</v>
      </c>
      <c r="F45" s="28" t="inlineStr">
        <is>
          <t>1</t>
        </is>
      </c>
      <c r="G45" s="28" t="inlineStr">
        <is>
          <t>Ground</t>
        </is>
      </c>
      <c r="H45" s="28" t="inlineStr">
        <is>
          <t>Medium</t>
        </is>
      </c>
      <c r="I45" s="39" t="n">
        <v>60</v>
      </c>
      <c r="J45" s="28" t="inlineStr">
        <is>
          <t>1.2</t>
        </is>
      </c>
      <c r="K45" s="28" t="n">
        <v>1.7</v>
      </c>
      <c r="L45" s="28" t="inlineStr">
        <is>
          <t>1.0</t>
        </is>
      </c>
      <c r="M45" s="28" t="inlineStr">
        <is>
          <t>N/A</t>
        </is>
      </c>
      <c r="N45" s="28" t="inlineStr">
        <is>
          <t>3,993</t>
        </is>
      </c>
      <c r="O45" s="28" t="n"/>
      <c r="P45" s="28" t="inlineStr">
        <is>
          <t>268 area / 537 jump / 430 spawn</t>
        </is>
      </c>
      <c r="Q45" s="28" t="inlineStr">
        <is>
          <t>See damage/effect note</t>
        </is>
      </c>
      <c r="R45" s="28" t="inlineStr">
        <is>
          <t>Attack projectile</t>
        </is>
      </c>
      <c r="S45" s="28" t="inlineStr">
        <is>
          <t>1000 spawn impact</t>
        </is>
      </c>
      <c r="T45" s="28" t="n">
        <v>18</v>
      </c>
      <c r="U45" s="28" t="n">
        <v>0.75</v>
      </c>
      <c r="V45" s="28" t="n">
        <v>5.5</v>
      </c>
      <c r="W45" s="28" t="inlineStr">
        <is>
          <t>Spawn damage and jump attack; ground splash.</t>
        </is>
      </c>
      <c r="X45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45" s="28" t="inlineStr">
        <is>
          <t>https://www.deckshop.pro/card/stats
https://www.deckshop.pro/card/hitpoints
https://deckmelon.com/cards/mega-knight
https://clashroyale.fandom.com/wiki/Mega_Knight</t>
        </is>
      </c>
      <c r="Z45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45" s="28" t="inlineStr">
        <is>
          <t>https://github.com/smlbiobot/cr-csv/blob/master/assets/csv_logic/characters.csv
https://github.com/smlbiobot/cr-csv/blob/master/assets/csv_logic/projectiles.csv</t>
        </is>
      </c>
      <c r="AB45" s="28" t="inlineStr">
        <is>
          <t>Current L11 from Deckmelon.</t>
        </is>
      </c>
      <c r="AC45" s="28" t="inlineStr">
        <is>
          <t>1.3 attack / 2.2 spawn &amp; jump</t>
        </is>
      </c>
      <c r="AD45" s="28" t="inlineStr">
        <is>
          <t>Melee splash plus 360° spawn/jump</t>
        </is>
      </c>
      <c r="AE45" s="46" t="n">
        <v>0.5</v>
      </c>
      <c r="AF45" s="46" t="n">
        <v>1.2</v>
      </c>
      <c r="AG45" s="46" t="inlineStr">
        <is>
          <t>1.0 jump/spawn</t>
        </is>
      </c>
    </row>
    <row r="46" ht="36" customHeight="1" s="31">
      <c r="A46" s="45" t="n">
        <v>45</v>
      </c>
      <c r="B46" s="22" t="inlineStr">
        <is>
          <t>Electro Wizard</t>
        </is>
      </c>
      <c r="C46" s="22" t="inlineStr">
        <is>
          <t>Troop</t>
        </is>
      </c>
      <c r="D46" s="22" t="inlineStr">
        <is>
          <t>Legendary</t>
        </is>
      </c>
      <c r="E46" s="45" t="n">
        <v>4</v>
      </c>
      <c r="F46" s="28" t="inlineStr">
        <is>
          <t>1</t>
        </is>
      </c>
      <c r="G46" s="28" t="inlineStr">
        <is>
          <t>Air &amp; ground</t>
        </is>
      </c>
      <c r="H46" s="28" t="inlineStr">
        <is>
          <t>Fast</t>
        </is>
      </c>
      <c r="I46" s="39" t="n">
        <v>90</v>
      </c>
      <c r="J46" s="28" t="inlineStr">
        <is>
          <t>5.0</t>
        </is>
      </c>
      <c r="K46" s="28" t="n">
        <v>1.8</v>
      </c>
      <c r="L46" s="28" t="inlineStr">
        <is>
          <t>1.0</t>
        </is>
      </c>
      <c r="M46" s="28" t="inlineStr">
        <is>
          <t>N/A</t>
        </is>
      </c>
      <c r="N46" s="28" t="inlineStr">
        <is>
          <t>714</t>
        </is>
      </c>
      <c r="O46" s="28" t="n"/>
      <c r="P46" s="28" t="inlineStr">
        <is>
          <t>115 ×2 attack bolts; 192 spawn Zap</t>
        </is>
      </c>
      <c r="Q46" s="28" t="inlineStr">
        <is>
          <t>127 DPS per bolt; up to 254 if both bolts hit</t>
        </is>
      </c>
      <c r="R46" s="28" t="inlineStr">
        <is>
          <t>Melee / no projectile</t>
        </is>
      </c>
      <c r="S46" s="28" t="inlineStr">
        <is>
          <t>—</t>
        </is>
      </c>
      <c r="T46" s="28" t="n">
        <v>5</v>
      </c>
      <c r="U46" s="28" t="n">
        <v>0.5</v>
      </c>
      <c r="V46" s="28" t="n">
        <v>5.5</v>
      </c>
      <c r="W46" s="28" t="inlineStr">
        <is>
          <t>Spawn zap; dual-target attack; stun/reset.</t>
        </is>
      </c>
      <c r="X46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46" s="28" t="inlineStr">
        <is>
          <t>https://www.deckshop.pro/card/stats
https://www.deckshop.pro/card/hitpoints
https://deckmelon.com/cards/electro-wizard
https://clashroyale.fandom.com/wiki/Electro_Wizard
https://www.clashroyaledeckbuilder.net/clash-royale-cards/electro_wizard</t>
        </is>
      </c>
      <c r="Z46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46" s="28" t="inlineStr">
        <is>
          <t>https://github.com/smlbiobot/cr-csv/blob/master/assets/csv_logic/characters.csv
https://github.com/smlbiobot/cr-csv/blob/master/assets/csv_logic/projectiles.csv</t>
        </is>
      </c>
      <c r="AB46" s="28" t="inlineStr">
        <is>
          <t>Updated: L11 HP, attack, and spawn Zap damage verified.</t>
        </is>
      </c>
      <c r="AC46" s="41" t="inlineStr">
        <is>
          <t>2.5 spawn Zap</t>
        </is>
      </c>
      <c r="AD46" s="28" t="inlineStr">
        <is>
          <t>360° spawn Zap; normal bolts are dual-target</t>
        </is>
      </c>
      <c r="AE46" s="46" t="n">
        <v>0.6</v>
      </c>
      <c r="AF46" s="46" t="n">
        <v>1.2</v>
      </c>
      <c r="AG46" s="46" t="inlineStr">
        <is>
          <t>N/A</t>
        </is>
      </c>
    </row>
    <row r="47" ht="36" customHeight="1" s="31">
      <c r="A47" s="45" t="n">
        <v>46</v>
      </c>
      <c r="B47" s="22" t="inlineStr">
        <is>
          <t>Inferno Dragon</t>
        </is>
      </c>
      <c r="C47" s="22" t="inlineStr">
        <is>
          <t>Troop</t>
        </is>
      </c>
      <c r="D47" s="22" t="inlineStr">
        <is>
          <t>Legendary</t>
        </is>
      </c>
      <c r="E47" s="45" t="n">
        <v>4</v>
      </c>
      <c r="F47" s="28" t="inlineStr">
        <is>
          <t>1</t>
        </is>
      </c>
      <c r="G47" s="28" t="inlineStr">
        <is>
          <t>Air &amp; ground</t>
        </is>
      </c>
      <c r="H47" s="28" t="inlineStr">
        <is>
          <t>Medium</t>
        </is>
      </c>
      <c r="I47" s="39" t="n">
        <v>60</v>
      </c>
      <c r="J47" s="28" t="inlineStr">
        <is>
          <t>3.5</t>
        </is>
      </c>
      <c r="K47" s="28" t="n">
        <v>0.4</v>
      </c>
      <c r="L47" s="28" t="inlineStr">
        <is>
          <t>1.0</t>
        </is>
      </c>
      <c r="M47" s="28" t="inlineStr">
        <is>
          <t>N/A</t>
        </is>
      </c>
      <c r="N47" s="28" t="inlineStr">
        <is>
          <t>1,295</t>
        </is>
      </c>
      <c r="O47" s="28" t="n"/>
      <c r="P47" s="28" t="inlineStr">
        <is>
          <t>35 / 120 / 422 ramp stages</t>
        </is>
      </c>
      <c r="Q47" s="28" t="inlineStr">
        <is>
          <t>87 / 300 / 1,055 DPS stages</t>
        </is>
      </c>
      <c r="R47" s="28" t="inlineStr">
        <is>
          <t>Melee / no projectile</t>
        </is>
      </c>
      <c r="S47" s="28" t="inlineStr">
        <is>
          <t>—</t>
        </is>
      </c>
      <c r="T47" s="28" t="n">
        <v>5</v>
      </c>
      <c r="U47" s="28" t="n">
        <v>0.5</v>
      </c>
      <c r="V47" s="28" t="n">
        <v>5.5</v>
      </c>
      <c r="W47" s="28" t="inlineStr">
        <is>
          <t>Flying ramping-damage beam; reset-vulnerable.</t>
        </is>
      </c>
      <c r="X47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47" s="28" t="inlineStr">
        <is>
          <t>https://www.deckshop.pro/card/stats
https://www.deckshop.pro/card/hitpoints
https://deckmelon.com/cards/inferno-dragon
https://clashroyale.fandom.com/wiki/Inferno_Dragon
https://www.deckshop.pro/card/detail/inferno-dragon</t>
        </is>
      </c>
      <c r="Z47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47" s="28" t="inlineStr">
        <is>
          <t>https://github.com/smlbiobot/cr-csv/blob/master/assets/csv_logic/characters.csv
https://github.com/smlbiobot/cr-csv/blob/master/assets/csv_logic/projectiles.csv</t>
        </is>
      </c>
      <c r="AB47" s="28" t="inlineStr">
        <is>
          <t>Updated: L11 ramp-stage stats verified.</t>
        </is>
      </c>
      <c r="AC47" s="41" t="inlineStr">
        <is>
          <t>N/A</t>
        </is>
      </c>
      <c r="AD47" s="28" t="inlineStr">
        <is>
          <t>Single-target / no splash or AoE</t>
        </is>
      </c>
      <c r="AE47" s="29" t="inlineStr">
        <is>
          <t>Retargeting beam; 0.4 first target / 0.8 retarget</t>
        </is>
      </c>
      <c r="AF47" s="46" t="n">
        <v>1.2</v>
      </c>
      <c r="AG47" s="46" t="inlineStr">
        <is>
          <t>N/A</t>
        </is>
      </c>
    </row>
    <row r="48" ht="36" customHeight="1" s="31">
      <c r="A48" s="45" t="n">
        <v>47</v>
      </c>
      <c r="B48" s="22" t="inlineStr">
        <is>
          <t>Sparky</t>
        </is>
      </c>
      <c r="C48" s="22" t="inlineStr">
        <is>
          <t>Troop</t>
        </is>
      </c>
      <c r="D48" s="22" t="inlineStr">
        <is>
          <t>Legendary</t>
        </is>
      </c>
      <c r="E48" s="45" t="n">
        <v>6</v>
      </c>
      <c r="F48" s="28" t="inlineStr">
        <is>
          <t>1</t>
        </is>
      </c>
      <c r="G48" s="28" t="inlineStr">
        <is>
          <t>Ground</t>
        </is>
      </c>
      <c r="H48" s="28" t="inlineStr">
        <is>
          <t>Slow</t>
        </is>
      </c>
      <c r="I48" s="39" t="n">
        <v>45</v>
      </c>
      <c r="J48" s="28" t="inlineStr">
        <is>
          <t>5.0</t>
        </is>
      </c>
      <c r="K48" s="28" t="n">
        <v>4</v>
      </c>
      <c r="L48" s="28" t="inlineStr">
        <is>
          <t>1.0</t>
        </is>
      </c>
      <c r="M48" s="28" t="inlineStr">
        <is>
          <t>N/A</t>
        </is>
      </c>
      <c r="N48" s="28" t="inlineStr">
        <is>
          <t>1,451</t>
        </is>
      </c>
      <c r="O48" s="28" t="n"/>
      <c r="P48" s="28" t="inlineStr">
        <is>
          <t>1,331 area</t>
        </is>
      </c>
      <c r="Q48" s="28" t="inlineStr">
        <is>
          <t>332 DPS</t>
        </is>
      </c>
      <c r="R48" s="28" t="inlineStr">
        <is>
          <t>Attack projectile</t>
        </is>
      </c>
      <c r="S48" s="28" t="inlineStr">
        <is>
          <t>1400 attack</t>
        </is>
      </c>
      <c r="T48" s="28" t="n">
        <v>18</v>
      </c>
      <c r="U48" s="28" t="n">
        <v>1</v>
      </c>
      <c r="V48" s="28" t="n">
        <v>5</v>
      </c>
      <c r="W48" s="28" t="inlineStr">
        <is>
          <t>Slow-charging, massive splash projectile; reset-vulnerable.</t>
        </is>
      </c>
      <c r="X48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48" s="28" t="inlineStr">
        <is>
          <t>https://www.deckshop.pro/card/stats
https://www.deckshop.pro/card/hitpoints
https://deckmelon.com/cards/sparky
https://clashroyale.fandom.com/wiki/Sparky
https://www.deckshop.pro/card/detail/sparky</t>
        </is>
      </c>
      <c r="Z48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48" s="28" t="inlineStr">
        <is>
          <t>https://github.com/smlbiobot/cr-csv/blob/master/assets/csv_logic/characters.csv
https://github.com/smlbiobot/cr-csv/blob/master/assets/csv_logic/projectiles.csv</t>
        </is>
      </c>
      <c r="AB48" s="28" t="inlineStr">
        <is>
          <t>Updated: L11 HP/area damage verified.</t>
        </is>
      </c>
      <c r="AC48" s="41" t="inlineStr">
        <is>
          <t>1.8</t>
        </is>
      </c>
      <c r="AD48" s="41" t="inlineStr">
        <is>
          <t>Homing projectile splash</t>
        </is>
      </c>
      <c r="AE48" s="46" t="n">
        <v>1</v>
      </c>
      <c r="AF48" s="46" t="n">
        <v>3</v>
      </c>
      <c r="AG48" s="46" t="inlineStr">
        <is>
          <t>N/A</t>
        </is>
      </c>
    </row>
    <row r="49" ht="36" customHeight="1" s="31">
      <c r="A49" s="45" t="n">
        <v>48</v>
      </c>
      <c r="B49" s="22" t="inlineStr">
        <is>
          <t>Miner</t>
        </is>
      </c>
      <c r="C49" s="22" t="inlineStr">
        <is>
          <t>Troop</t>
        </is>
      </c>
      <c r="D49" s="22" t="inlineStr">
        <is>
          <t>Legendary</t>
        </is>
      </c>
      <c r="E49" s="45" t="n">
        <v>3</v>
      </c>
      <c r="F49" s="28" t="inlineStr">
        <is>
          <t>1</t>
        </is>
      </c>
      <c r="G49" s="28" t="inlineStr">
        <is>
          <t>Ground</t>
        </is>
      </c>
      <c r="H49" s="28" t="inlineStr">
        <is>
          <t>Fast</t>
        </is>
      </c>
      <c r="I49" s="39" t="n">
        <v>90</v>
      </c>
      <c r="J49" s="28" t="inlineStr">
        <is>
          <t>1.2</t>
        </is>
      </c>
      <c r="K49" s="28" t="n">
        <v>1.2</v>
      </c>
      <c r="L49" s="28" t="inlineStr">
        <is>
          <t>1.0</t>
        </is>
      </c>
      <c r="M49" s="28" t="inlineStr">
        <is>
          <t>N/A</t>
        </is>
      </c>
      <c r="N49" s="28" t="inlineStr">
        <is>
          <t>1,210</t>
        </is>
      </c>
      <c r="O49" s="28" t="n"/>
      <c r="P49" s="28" t="inlineStr">
        <is>
          <t>194; 49 tower damage</t>
        </is>
      </c>
      <c r="Q49" s="28" t="inlineStr">
        <is>
          <t>See damage/effect note</t>
        </is>
      </c>
      <c r="R49" s="28" t="inlineStr">
        <is>
          <t>Attack projectile</t>
        </is>
      </c>
      <c r="S49" s="28" t="inlineStr">
        <is>
          <t>650 burrow</t>
        </is>
      </c>
      <c r="T49" s="28" t="n">
        <v>6</v>
      </c>
      <c r="U49" s="28" t="n">
        <v>0.5</v>
      </c>
      <c r="V49" s="28" t="n">
        <v>5.5</v>
      </c>
      <c r="W49" s="28" t="inlineStr">
        <is>
          <t>Can be deployed anywhere; reduced crown-tower damage.</t>
        </is>
      </c>
      <c r="X49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49" s="28" t="inlineStr">
        <is>
          <t>https://www.deckshop.pro/card/stats
https://www.deckshop.pro/card/hitpoints
https://deckmelon.com/cards/miner
https://clashroyale.fandom.com/wiki/Miner
https://www.deckshop.pro/card/detail/miner</t>
        </is>
      </c>
      <c r="Z49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49" s="28" t="inlineStr">
        <is>
          <t>https://github.com/smlbiobot/cr-csv/blob/master/assets/csv_logic/characters.csv
https://github.com/smlbiobot/cr-csv/blob/master/assets/csv_logic/projectiles.csv</t>
        </is>
      </c>
      <c r="AB49" s="28" t="inlineStr">
        <is>
          <t>Updated: L11 HP/damage verified.</t>
        </is>
      </c>
      <c r="AC49" s="41" t="inlineStr">
        <is>
          <t>N/A</t>
        </is>
      </c>
      <c r="AD49" s="28" t="inlineStr">
        <is>
          <t>Single-target / no splash or AoE</t>
        </is>
      </c>
      <c r="AE49" s="46" t="n">
        <v>0.5</v>
      </c>
      <c r="AF49" s="46" t="n">
        <v>0.7</v>
      </c>
      <c r="AG49" s="46" t="inlineStr">
        <is>
          <t>N/A</t>
        </is>
      </c>
    </row>
    <row r="50" ht="36" customHeight="1" s="31">
      <c r="A50" s="45" t="n">
        <v>49</v>
      </c>
      <c r="B50" s="22" t="inlineStr">
        <is>
          <t>Princess</t>
        </is>
      </c>
      <c r="C50" s="22" t="inlineStr">
        <is>
          <t>Troop</t>
        </is>
      </c>
      <c r="D50" s="22" t="inlineStr">
        <is>
          <t>Legendary</t>
        </is>
      </c>
      <c r="E50" s="45" t="n">
        <v>3</v>
      </c>
      <c r="F50" s="28" t="inlineStr">
        <is>
          <t>1</t>
        </is>
      </c>
      <c r="G50" s="28" t="inlineStr">
        <is>
          <t>Air &amp; ground</t>
        </is>
      </c>
      <c r="H50" s="28" t="inlineStr">
        <is>
          <t>Medium</t>
        </is>
      </c>
      <c r="I50" s="39" t="n">
        <v>60</v>
      </c>
      <c r="J50" s="28" t="inlineStr">
        <is>
          <t>9.0</t>
        </is>
      </c>
      <c r="K50" s="28" t="n">
        <v>3</v>
      </c>
      <c r="L50" s="28" t="inlineStr">
        <is>
          <t>1.0</t>
        </is>
      </c>
      <c r="M50" s="28" t="inlineStr">
        <is>
          <t>N/A</t>
        </is>
      </c>
      <c r="N50" s="28" t="inlineStr">
        <is>
          <t>261</t>
        </is>
      </c>
      <c r="O50" s="28" t="n"/>
      <c r="P50" s="28" t="inlineStr">
        <is>
          <t>168 area</t>
        </is>
      </c>
      <c r="Q50" s="28" t="inlineStr">
        <is>
          <t>See damage/effect note</t>
        </is>
      </c>
      <c r="R50" s="28" t="inlineStr">
        <is>
          <t>Princess projectile</t>
        </is>
      </c>
      <c r="S50" s="28" t="inlineStr">
        <is>
          <t>600 attack</t>
        </is>
      </c>
      <c r="T50" s="28" t="n">
        <v>3</v>
      </c>
      <c r="U50" s="28" t="n">
        <v>0.5</v>
      </c>
      <c r="V50" s="28" t="n">
        <v>9.5</v>
      </c>
      <c r="W50" s="28" t="inlineStr">
        <is>
          <t>Extreme range splash attacker.</t>
        </is>
      </c>
      <c r="X50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50" s="28" t="inlineStr">
        <is>
          <t>https://www.deckshop.pro/card/stats
https://www.deckshop.pro/card/hitpoints
https://deckmelon.com/cards/princess
https://clashroyale.fandom.com/wiki/Princess
https://decksforcr.com/card/detail/princess/
https://www.deckshop.pro/eg/card/detail/princess</t>
        </is>
      </c>
      <c r="Z50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50" s="28" t="inlineStr">
        <is>
          <t>https://github.com/smlbiobot/cr-csv/blob/master/assets/csv_logic/characters.csv
https://github.com/smlbiobot/cr-csv/blob/master/assets/csv_logic/projectiles.csv</t>
        </is>
      </c>
      <c r="AB50" s="28" t="inlineStr">
        <is>
          <t>Updated: L11 HP/damage verified; splash radius added.</t>
        </is>
      </c>
      <c r="AC50" s="41" t="inlineStr">
        <is>
          <t>2.0</t>
        </is>
      </c>
      <c r="AD50" s="28" t="inlineStr">
        <is>
          <t>Non-homing long-range splash</t>
        </is>
      </c>
      <c r="AE50" s="46" t="n">
        <v>0.5</v>
      </c>
      <c r="AF50" s="46" t="n">
        <v>2.5</v>
      </c>
      <c r="AG50" s="46" t="inlineStr">
        <is>
          <t>N/A</t>
        </is>
      </c>
    </row>
    <row r="51" ht="36" customHeight="1" s="31">
      <c r="A51" s="45" t="n">
        <v>50</v>
      </c>
      <c r="B51" s="22" t="inlineStr">
        <is>
          <t>Royal Ghost</t>
        </is>
      </c>
      <c r="C51" s="22" t="inlineStr">
        <is>
          <t>Troop</t>
        </is>
      </c>
      <c r="D51" s="22" t="inlineStr">
        <is>
          <t>Legendary</t>
        </is>
      </c>
      <c r="E51" s="45" t="n">
        <v>3</v>
      </c>
      <c r="F51" s="28" t="inlineStr">
        <is>
          <t>1</t>
        </is>
      </c>
      <c r="G51" s="28" t="inlineStr">
        <is>
          <t>Ground</t>
        </is>
      </c>
      <c r="H51" s="28" t="inlineStr">
        <is>
          <t>Fast</t>
        </is>
      </c>
      <c r="I51" s="39" t="n">
        <v>90</v>
      </c>
      <c r="J51" s="28" t="inlineStr">
        <is>
          <t>1.2</t>
        </is>
      </c>
      <c r="K51" s="28" t="n">
        <v>1.8</v>
      </c>
      <c r="L51" s="28" t="inlineStr">
        <is>
          <t>1.0</t>
        </is>
      </c>
      <c r="M51" s="28" t="inlineStr">
        <is>
          <t>N/A</t>
        </is>
      </c>
      <c r="N51" s="28" t="inlineStr">
        <is>
          <t>1,210</t>
        </is>
      </c>
      <c r="O51" s="28" t="n"/>
      <c r="P51" s="28" t="inlineStr">
        <is>
          <t>261 area</t>
        </is>
      </c>
      <c r="Q51" s="28" t="inlineStr">
        <is>
          <t>See damage/effect note</t>
        </is>
      </c>
      <c r="R51" s="28" t="inlineStr">
        <is>
          <t>Melee / no projectile</t>
        </is>
      </c>
      <c r="S51" s="28" t="inlineStr">
        <is>
          <t>—</t>
        </is>
      </c>
      <c r="T51" s="28" t="n">
        <v>3</v>
      </c>
      <c r="U51" s="28" t="n">
        <v>0.6</v>
      </c>
      <c r="V51" s="28" t="n">
        <v>5.5</v>
      </c>
      <c r="W51" s="28" t="inlineStr">
        <is>
          <t>Invisible until attacking or revealed by proximity; area melee.</t>
        </is>
      </c>
      <c r="X51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51" s="28" t="inlineStr">
        <is>
          <t>https://www.deckshop.pro/card/stats
https://www.deckshop.pro/card/hitpoints
https://deckmelon.com/cards/royal-ghost
https://clashroyale.fandom.com/wiki/Royal_Ghost
https://www.deckshop.pro/card/detail/royal-ghost</t>
        </is>
      </c>
      <c r="Z51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51" s="28" t="inlineStr">
        <is>
          <t>https://github.com/smlbiobot/cr-csv/blob/master/assets/csv_logic/characters.csv
https://github.com/smlbiobot/cr-csv/blob/master/assets/csv_logic/projectiles.csv</t>
        </is>
      </c>
      <c r="AB51" s="28" t="inlineStr">
        <is>
          <t>Updated: L11 HP/damage verified; splash radius added.</t>
        </is>
      </c>
      <c r="AC51" s="41" t="inlineStr">
        <is>
          <t>1.0</t>
        </is>
      </c>
      <c r="AD51" s="41" t="inlineStr">
        <is>
          <t>Non-homing melee splash</t>
        </is>
      </c>
      <c r="AE51" s="46" t="n">
        <v>0.6</v>
      </c>
      <c r="AF51" s="46" t="n">
        <v>1.2</v>
      </c>
      <c r="AG51" s="46" t="inlineStr">
        <is>
          <t>N/A</t>
        </is>
      </c>
    </row>
    <row r="52" ht="36" customHeight="1" s="31">
      <c r="A52" s="45" t="n">
        <v>51</v>
      </c>
      <c r="B52" s="22" t="inlineStr">
        <is>
          <t>Ice Wizard</t>
        </is>
      </c>
      <c r="C52" s="22" t="inlineStr">
        <is>
          <t>Troop</t>
        </is>
      </c>
      <c r="D52" s="22" t="inlineStr">
        <is>
          <t>Legendary</t>
        </is>
      </c>
      <c r="E52" s="45" t="n">
        <v>3</v>
      </c>
      <c r="F52" s="28" t="inlineStr">
        <is>
          <t>1</t>
        </is>
      </c>
      <c r="G52" s="28" t="inlineStr">
        <is>
          <t>Air &amp; ground</t>
        </is>
      </c>
      <c r="H52" s="28" t="inlineStr">
        <is>
          <t>Medium</t>
        </is>
      </c>
      <c r="I52" s="39" t="n">
        <v>60</v>
      </c>
      <c r="J52" s="28" t="inlineStr">
        <is>
          <t>5.5</t>
        </is>
      </c>
      <c r="K52" s="28" t="n">
        <v>1.7</v>
      </c>
      <c r="L52" s="28" t="inlineStr">
        <is>
          <t>1.0</t>
        </is>
      </c>
      <c r="M52" s="28" t="inlineStr">
        <is>
          <t>N/A</t>
        </is>
      </c>
      <c r="N52" s="28" t="inlineStr">
        <is>
          <t>688</t>
        </is>
      </c>
      <c r="O52" s="28" t="n"/>
      <c r="P52" s="28" t="inlineStr">
        <is>
          <t>89 area + slow</t>
        </is>
      </c>
      <c r="Q52" s="28" t="inlineStr">
        <is>
          <t>See damage/effect note</t>
        </is>
      </c>
      <c r="R52" s="28" t="inlineStr">
        <is>
          <t>Ice Wizard projectile</t>
        </is>
      </c>
      <c r="S52" s="28" t="inlineStr">
        <is>
          <t>700 attack</t>
        </is>
      </c>
      <c r="T52" s="28" t="n">
        <v>5</v>
      </c>
      <c r="U52" s="28" t="n">
        <v>0.5</v>
      </c>
      <c r="V52" s="28" t="n">
        <v>5.5</v>
      </c>
      <c r="W52" s="28" t="inlineStr">
        <is>
          <t>Ranged support that slows targets.</t>
        </is>
      </c>
      <c r="X52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52" s="28" t="inlineStr">
        <is>
          <t>https://www.deckshop.pro/card/stats
https://www.deckshop.pro/card/hitpoints
https://deckmelon.com/cards/ice-wizard
https://clashroyale.fandom.com/wiki/Ice_Wizard
https://www.deckshop.pro/card/detail/ice-wizard
https://www.clashroyaledeckbuilder.net/clash-royale-cards/ice_wizard</t>
        </is>
      </c>
      <c r="Z52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52" s="28" t="inlineStr">
        <is>
          <t>https://github.com/smlbiobot/cr-csv/blob/master/assets/csv_logic/characters.csv
https://github.com/smlbiobot/cr-csv/blob/master/assets/csv_logic/projectiles.csv</t>
        </is>
      </c>
      <c r="AB52" s="28" t="inlineStr">
        <is>
          <t>Updated: L11 HP/damage verified; splash radius added.</t>
        </is>
      </c>
      <c r="AC52" s="41" t="inlineStr">
        <is>
          <t>1.0</t>
        </is>
      </c>
      <c r="AD52" s="28" t="inlineStr">
        <is>
          <t>Homing projectile splash + slow</t>
        </is>
      </c>
      <c r="AE52" s="46" t="n">
        <v>0.5</v>
      </c>
      <c r="AF52" s="46" t="n">
        <v>1.2</v>
      </c>
      <c r="AG52" s="46" t="inlineStr">
        <is>
          <t>N/A</t>
        </is>
      </c>
    </row>
    <row r="53" ht="36" customHeight="1" s="31">
      <c r="A53" s="45" t="n">
        <v>52</v>
      </c>
      <c r="B53" s="22" t="inlineStr">
        <is>
          <t>Bandit</t>
        </is>
      </c>
      <c r="C53" s="22" t="inlineStr">
        <is>
          <t>Troop</t>
        </is>
      </c>
      <c r="D53" s="22" t="inlineStr">
        <is>
          <t>Legendary</t>
        </is>
      </c>
      <c r="E53" s="45" t="n">
        <v>3</v>
      </c>
      <c r="F53" s="28" t="inlineStr">
        <is>
          <t>1</t>
        </is>
      </c>
      <c r="G53" s="28" t="inlineStr">
        <is>
          <t>Ground</t>
        </is>
      </c>
      <c r="H53" s="28" t="inlineStr">
        <is>
          <t>Fast</t>
        </is>
      </c>
      <c r="I53" s="39" t="n">
        <v>90</v>
      </c>
      <c r="J53" s="28" t="inlineStr">
        <is>
          <t>0.8 melee; 3.5–6 dash</t>
        </is>
      </c>
      <c r="K53" s="28" t="n">
        <v>1</v>
      </c>
      <c r="L53" s="28" t="inlineStr">
        <is>
          <t>1.0</t>
        </is>
      </c>
      <c r="M53" s="28" t="inlineStr">
        <is>
          <t>N/A</t>
        </is>
      </c>
      <c r="N53" s="28" t="inlineStr">
        <is>
          <t>906</t>
        </is>
      </c>
      <c r="O53" s="28" t="n"/>
      <c r="P53" s="28" t="inlineStr">
        <is>
          <t>194 / 389 dash</t>
        </is>
      </c>
      <c r="Q53" s="28" t="inlineStr">
        <is>
          <t>See damage/effect note</t>
        </is>
      </c>
      <c r="R53" s="28" t="inlineStr">
        <is>
          <t>Melee / no projectile</t>
        </is>
      </c>
      <c r="S53" s="28" t="inlineStr">
        <is>
          <t>—</t>
        </is>
      </c>
      <c r="T53" s="28" t="n">
        <v>3</v>
      </c>
      <c r="U53" s="28" t="n">
        <v>0.6</v>
      </c>
      <c r="V53" s="28" t="n">
        <v>6</v>
      </c>
      <c r="W53" s="28" t="inlineStr">
        <is>
          <t>Dash makes her briefly invulnerable; burst engage.</t>
        </is>
      </c>
      <c r="X53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53" s="28" t="inlineStr">
        <is>
          <t>https://www.deckshop.pro/card/stats
https://www.deckshop.pro/card/hitpoints
https://deckmelon.com/cards/bandit
https://clashroyale.fandom.com/wiki/Bandit
https://www.deckshop.pro/card/detail/bandit</t>
        </is>
      </c>
      <c r="Z53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53" s="28" t="inlineStr">
        <is>
          <t>https://github.com/smlbiobot/cr-csv/blob/master/assets/csv_logic/characters.csv
https://github.com/smlbiobot/cr-csv/blob/master/assets/csv_logic/projectiles.csv</t>
        </is>
      </c>
      <c r="AB53" s="28" t="inlineStr">
        <is>
          <t>Updated: L11 HP/damage and dash damage verified.</t>
        </is>
      </c>
      <c r="AC53" s="41" t="inlineStr">
        <is>
          <t>N/A</t>
        </is>
      </c>
      <c r="AD53" s="28" t="inlineStr">
        <is>
          <t>Single-target / no splash or AoE</t>
        </is>
      </c>
      <c r="AE53" s="46" t="n">
        <v>0.4</v>
      </c>
      <c r="AF53" s="46" t="n">
        <v>0.6</v>
      </c>
      <c r="AG53" s="46" t="inlineStr">
        <is>
          <t>N/A</t>
        </is>
      </c>
    </row>
    <row r="54" ht="36" customHeight="1" s="31">
      <c r="A54" s="45" t="n">
        <v>53</v>
      </c>
      <c r="B54" s="22" t="inlineStr">
        <is>
          <t>Lava Hound</t>
        </is>
      </c>
      <c r="C54" s="22" t="inlineStr">
        <is>
          <t>Troop</t>
        </is>
      </c>
      <c r="D54" s="22" t="inlineStr">
        <is>
          <t>Legendary</t>
        </is>
      </c>
      <c r="E54" s="45" t="n">
        <v>7</v>
      </c>
      <c r="F54" s="28" t="inlineStr">
        <is>
          <t>1 + Lava Pups on death</t>
        </is>
      </c>
      <c r="G54" s="28" t="inlineStr">
        <is>
          <t>Buildings</t>
        </is>
      </c>
      <c r="H54" s="28" t="inlineStr">
        <is>
          <t>Slow</t>
        </is>
      </c>
      <c r="I54" s="39" t="n">
        <v>45</v>
      </c>
      <c r="J54" s="28" t="inlineStr">
        <is>
          <t>3.5</t>
        </is>
      </c>
      <c r="K54" s="28" t="n">
        <v>1.3</v>
      </c>
      <c r="L54" s="28" t="inlineStr">
        <is>
          <t>1.0</t>
        </is>
      </c>
      <c r="M54" s="28" t="inlineStr">
        <is>
          <t>N/A</t>
        </is>
      </c>
      <c r="N54" s="28" t="inlineStr">
        <is>
          <t>3,581 Hound; 217 per Lava Pup</t>
        </is>
      </c>
      <c r="O54" s="28" t="n"/>
      <c r="P54" s="28" t="inlineStr">
        <is>
          <t>53 Hound; 81 per Lava Pup ×6</t>
        </is>
      </c>
      <c r="Q54" s="28" t="inlineStr">
        <is>
          <t>See damage/effect note</t>
        </is>
      </c>
      <c r="R54" s="28" t="inlineStr">
        <is>
          <t>LavaHoundProjectile</t>
        </is>
      </c>
      <c r="S54" s="28" t="inlineStr">
        <is>
          <t>400 attack</t>
        </is>
      </c>
      <c r="T54" s="28" t="n">
        <v>5</v>
      </c>
      <c r="U54" s="28" t="n">
        <v>0.75</v>
      </c>
      <c r="V54" s="28" t="n">
        <v>5.5</v>
      </c>
      <c r="W54" s="28" t="inlineStr">
        <is>
          <t>Flying building-targeting tank; splits into Lava Pups.</t>
        </is>
      </c>
      <c r="X54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54" s="28" t="inlineStr">
        <is>
          <t>https://www.deckshop.pro/card/stats
https://www.deckshop.pro/card/hitpoints
https://deckmelon.com/cards/lava-hound
https://clashroyale.fandom.com/wiki/Lava_Hound
https://www.deckshop.pro/card/detail/lava-hound</t>
        </is>
      </c>
      <c r="Z54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54" s="28" t="inlineStr">
        <is>
          <t>https://github.com/smlbiobot/cr-csv/blob/master/assets/csv_logic/characters.csv
https://github.com/smlbiobot/cr-csv/blob/master/assets/csv_logic/projectiles.csv</t>
        </is>
      </c>
      <c r="AB54" s="28" t="inlineStr">
        <is>
          <t>Updated: L11 Hound and Lava Pup stats verified.</t>
        </is>
      </c>
      <c r="AC54" s="41" t="inlineStr">
        <is>
          <t>N/A</t>
        </is>
      </c>
      <c r="AD54" s="28" t="inlineStr">
        <is>
          <t>Single-target / no splash or AoE</t>
        </is>
      </c>
      <c r="AE54" s="29" t="inlineStr">
        <is>
          <t>1.0 Hound / 1.0 Pups</t>
        </is>
      </c>
      <c r="AF54" s="29" t="inlineStr">
        <is>
          <t>0.3 Hound / 0.7 Pups</t>
        </is>
      </c>
      <c r="AG54" s="29" t="inlineStr">
        <is>
          <t>N/A</t>
        </is>
      </c>
    </row>
    <row r="55" ht="36" customHeight="1" s="31">
      <c r="A55" s="45" t="n">
        <v>54</v>
      </c>
      <c r="B55" s="22" t="inlineStr">
        <is>
          <t>Night Witch</t>
        </is>
      </c>
      <c r="C55" s="22" t="inlineStr">
        <is>
          <t>Troop</t>
        </is>
      </c>
      <c r="D55" s="22" t="inlineStr">
        <is>
          <t>Legendary</t>
        </is>
      </c>
      <c r="E55" s="45" t="n">
        <v>4</v>
      </c>
      <c r="F55" s="28" t="inlineStr">
        <is>
          <t>1 + Bat spawns</t>
        </is>
      </c>
      <c r="G55" s="28" t="inlineStr">
        <is>
          <t>Ground</t>
        </is>
      </c>
      <c r="H55" s="28" t="inlineStr">
        <is>
          <t>Medium</t>
        </is>
      </c>
      <c r="I55" s="39" t="n">
        <v>60</v>
      </c>
      <c r="J55" s="28" t="inlineStr">
        <is>
          <t>1.6</t>
        </is>
      </c>
      <c r="K55" s="28" t="n">
        <v>1.5</v>
      </c>
      <c r="L55" s="28" t="inlineStr">
        <is>
          <t>1.0</t>
        </is>
      </c>
      <c r="M55" s="28" t="inlineStr">
        <is>
          <t>N/A</t>
        </is>
      </c>
      <c r="N55" s="28" t="inlineStr">
        <is>
          <t>907</t>
        </is>
      </c>
      <c r="O55" s="28" t="n"/>
      <c r="P55" s="28" t="inlineStr">
        <is>
          <t>314 + Bats</t>
        </is>
      </c>
      <c r="Q55" s="28" t="inlineStr">
        <is>
          <t>See damage/effect note</t>
        </is>
      </c>
      <c r="R55" s="28" t="inlineStr">
        <is>
          <t>Melee / no projectile</t>
        </is>
      </c>
      <c r="S55" s="28" t="inlineStr">
        <is>
          <t>—</t>
        </is>
      </c>
      <c r="T55" s="28" t="n">
        <v>4</v>
      </c>
      <c r="U55" s="28" t="n">
        <v>0.5</v>
      </c>
      <c r="V55" s="28" t="n">
        <v>5.5</v>
      </c>
      <c r="W55" s="28" t="inlineStr">
        <is>
          <t>Melee support that spawns Bats.</t>
        </is>
      </c>
      <c r="X55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55" s="28" t="inlineStr">
        <is>
          <t>https://www.deckshop.pro/card/stats
https://www.deckshop.pro/card/hitpoints
https://deckmelon.com/cards/night-witch
https://clashroyale.fandom.com/wiki/Night_Witch</t>
        </is>
      </c>
      <c r="Z55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55" s="28" t="inlineStr">
        <is>
          <t>https://github.com/smlbiobot/cr-csv/blob/master/assets/csv_logic/characters.csv
https://github.com/smlbiobot/cr-csv/blob/master/assets/csv_logic/projectiles.csv</t>
        </is>
      </c>
      <c r="AB55" s="28" t="inlineStr">
        <is>
          <t>Current L11 from Deckshop snippet.</t>
        </is>
      </c>
      <c r="AC55" s="41" t="inlineStr">
        <is>
          <t>N/A</t>
        </is>
      </c>
      <c r="AD55" s="28" t="inlineStr">
        <is>
          <t>Single-target / no splash or AoE</t>
        </is>
      </c>
      <c r="AE55" s="46" t="n">
        <v>0.75</v>
      </c>
      <c r="AF55" s="46" t="n">
        <v>0.75</v>
      </c>
      <c r="AG55" s="46" t="inlineStr">
        <is>
          <t>N/A</t>
        </is>
      </c>
    </row>
    <row r="56" ht="36" customHeight="1" s="31">
      <c r="A56" s="45" t="n">
        <v>55</v>
      </c>
      <c r="B56" s="22" t="inlineStr">
        <is>
          <t>Lumberjack</t>
        </is>
      </c>
      <c r="C56" s="22" t="inlineStr">
        <is>
          <t>Troop</t>
        </is>
      </c>
      <c r="D56" s="22" t="inlineStr">
        <is>
          <t>Legendary</t>
        </is>
      </c>
      <c r="E56" s="45" t="n">
        <v>4</v>
      </c>
      <c r="F56" s="28" t="inlineStr">
        <is>
          <t>1</t>
        </is>
      </c>
      <c r="G56" s="28" t="inlineStr">
        <is>
          <t>Ground</t>
        </is>
      </c>
      <c r="H56" s="28" t="inlineStr">
        <is>
          <t>Very Fast</t>
        </is>
      </c>
      <c r="I56" s="39" t="n">
        <v>120</v>
      </c>
      <c r="J56" s="28" t="inlineStr">
        <is>
          <t>0.8</t>
        </is>
      </c>
      <c r="K56" s="28" t="n">
        <v>0.8</v>
      </c>
      <c r="L56" s="28" t="inlineStr">
        <is>
          <t>1.0</t>
        </is>
      </c>
      <c r="M56" s="28" t="inlineStr">
        <is>
          <t>N/A</t>
        </is>
      </c>
      <c r="N56" s="28" t="inlineStr">
        <is>
          <t>1,282</t>
        </is>
      </c>
      <c r="O56" s="28" t="n"/>
      <c r="P56" s="28" t="inlineStr">
        <is>
          <t>256; drops Rage effect on death</t>
        </is>
      </c>
      <c r="Q56" s="28" t="inlineStr">
        <is>
          <t>See damage/effect note</t>
        </is>
      </c>
      <c r="R56" s="28" t="inlineStr">
        <is>
          <t>Melee / no projectile</t>
        </is>
      </c>
      <c r="S56" s="28" t="inlineStr">
        <is>
          <t>—</t>
        </is>
      </c>
      <c r="T56" s="28" t="n">
        <v>4</v>
      </c>
      <c r="U56" s="28" t="n">
        <v>0.5</v>
      </c>
      <c r="V56" s="28" t="n">
        <v>5.5</v>
      </c>
      <c r="W56" s="28" t="inlineStr">
        <is>
          <t>Fast melee; drops Rage on death.</t>
        </is>
      </c>
      <c r="X56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56" s="28" t="inlineStr">
        <is>
          <t>https://www.deckshop.pro/card/stats
https://www.deckshop.pro/card/hitpoints
https://deckmelon.com/cards/lumberjack
https://clashroyale.fandom.com/wiki/Lumberjack
https://www.deckshop.pro/card/detail/lumberjack</t>
        </is>
      </c>
      <c r="Z56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56" s="28" t="inlineStr">
        <is>
          <t>https://github.com/smlbiobot/cr-csv/blob/master/assets/csv_logic/characters.csv
https://github.com/smlbiobot/cr-csv/blob/master/assets/csv_logic/projectiles.csv</t>
        </is>
      </c>
      <c r="AB56" s="28" t="inlineStr">
        <is>
          <t>Updated: L11 HP/damage verified; death Rage effect noted.</t>
        </is>
      </c>
      <c r="AC56" s="41" t="inlineStr">
        <is>
          <t>N/A</t>
        </is>
      </c>
      <c r="AD56" s="28" t="inlineStr">
        <is>
          <t>Single-target / no splash or AoE</t>
        </is>
      </c>
      <c r="AE56" s="46" t="n">
        <v>0.4</v>
      </c>
      <c r="AF56" s="46" t="n">
        <v>0.4</v>
      </c>
      <c r="AG56" s="46" t="inlineStr">
        <is>
          <t>N/A</t>
        </is>
      </c>
    </row>
    <row r="57" ht="36" customHeight="1" s="31">
      <c r="A57" s="45" t="n">
        <v>56</v>
      </c>
      <c r="B57" s="22" t="inlineStr">
        <is>
          <t>Arrows</t>
        </is>
      </c>
      <c r="C57" s="22" t="inlineStr">
        <is>
          <t>Spell</t>
        </is>
      </c>
      <c r="D57" s="22" t="inlineStr">
        <is>
          <t>Common</t>
        </is>
      </c>
      <c r="E57" s="45" t="n">
        <v>3</v>
      </c>
      <c r="F57" s="28" t="inlineStr">
        <is>
          <t>1</t>
        </is>
      </c>
      <c r="G57" s="28" t="inlineStr">
        <is>
          <t>Air &amp; ground</t>
        </is>
      </c>
      <c r="H57" s="28" t="inlineStr">
        <is>
          <t>Stationary / N/A</t>
        </is>
      </c>
      <c r="I57" s="39" t="inlineStr">
        <is>
          <t>N/A</t>
        </is>
      </c>
      <c r="J57" s="28" t="inlineStr">
        <is>
          <t>3.5 radius</t>
        </is>
      </c>
      <c r="K57" s="28" t="inlineStr">
        <is>
          <t>N/A</t>
        </is>
      </c>
      <c r="L57" s="28" t="inlineStr">
        <is>
          <t>Cast</t>
        </is>
      </c>
      <c r="M57" s="28" t="inlineStr">
        <is>
          <t>Instant travel</t>
        </is>
      </c>
      <c r="N57" s="28" t="inlineStr">
        <is>
          <t>N/A</t>
        </is>
      </c>
      <c r="O57" s="28" t="n"/>
      <c r="P57" s="28" t="inlineStr">
        <is>
          <t>366 area / 110 tower</t>
        </is>
      </c>
      <c r="Q57" s="28" t="inlineStr">
        <is>
          <t>See damage/effect note</t>
        </is>
      </c>
      <c r="R57" s="28" t="inlineStr">
        <is>
          <t>Arrows spell object</t>
        </is>
      </c>
      <c r="S57" s="28" t="inlineStr">
        <is>
          <t>1100 spell</t>
        </is>
      </c>
      <c r="T57" s="28" t="inlineStr">
        <is>
          <t>N/A</t>
        </is>
      </c>
      <c r="U57" s="28" t="inlineStr">
        <is>
          <t>N/A</t>
        </is>
      </c>
      <c r="V57" s="28" t="inlineStr">
        <is>
          <t>N/A</t>
        </is>
      </c>
      <c r="W57" s="28" t="inlineStr">
        <is>
          <t>Three-wave air/ground spell; broad radius.</t>
        </is>
      </c>
      <c r="X57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57" s="28" t="inlineStr">
        <is>
          <t>https://www.deckshop.pro/card/stats
https://www.deckshop.pro/card/hitpoints
https://deckmelon.com/cards/arrows
https://clashroyale.fandom.com/wiki/Arrows</t>
        </is>
      </c>
      <c r="Z57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57" s="28" t="inlineStr">
        <is>
          <t>https://github.com/smlbiobot/cr-csv/blob/master/assets/csv_logic/characters.csv
https://github.com/smlbiobot/cr-csv/blob/master/assets/csv_logic/projectiles.csv</t>
        </is>
      </c>
      <c r="AB57" s="28" t="inlineStr">
        <is>
          <t>Current L11 from Deck Shop.</t>
        </is>
      </c>
      <c r="AC57" s="41" t="inlineStr">
        <is>
          <t>3.5</t>
        </is>
      </c>
      <c r="AD57" s="41" t="inlineStr">
        <is>
          <t>Spell AoE/effect radius</t>
        </is>
      </c>
      <c r="AE57" s="29" t="inlineStr">
        <is>
          <t>N/A</t>
        </is>
      </c>
      <c r="AF57" s="29" t="inlineStr">
        <is>
          <t>N/A</t>
        </is>
      </c>
      <c r="AG57" s="29" t="inlineStr">
        <is>
          <t>N/A</t>
        </is>
      </c>
    </row>
    <row r="58" ht="36" customHeight="1" s="31">
      <c r="A58" s="45" t="n">
        <v>57</v>
      </c>
      <c r="B58" s="22" t="inlineStr">
        <is>
          <t>Zap</t>
        </is>
      </c>
      <c r="C58" s="22" t="inlineStr">
        <is>
          <t>Spell</t>
        </is>
      </c>
      <c r="D58" s="22" t="inlineStr">
        <is>
          <t>Common</t>
        </is>
      </c>
      <c r="E58" s="45" t="n">
        <v>2</v>
      </c>
      <c r="F58" s="28" t="inlineStr">
        <is>
          <t>1</t>
        </is>
      </c>
      <c r="G58" s="28" t="inlineStr">
        <is>
          <t>Air &amp; ground</t>
        </is>
      </c>
      <c r="H58" s="28" t="inlineStr">
        <is>
          <t>Stationary / N/A</t>
        </is>
      </c>
      <c r="I58" s="39" t="inlineStr">
        <is>
          <t>N/A</t>
        </is>
      </c>
      <c r="J58" s="28" t="inlineStr">
        <is>
          <t>2.5 radius</t>
        </is>
      </c>
      <c r="K58" s="28" t="inlineStr">
        <is>
          <t>N/A</t>
        </is>
      </c>
      <c r="L58" s="28" t="inlineStr">
        <is>
          <t>Cast</t>
        </is>
      </c>
      <c r="M58" s="28" t="inlineStr">
        <is>
          <t>Instant</t>
        </is>
      </c>
      <c r="N58" s="28" t="inlineStr">
        <is>
          <t>N/A</t>
        </is>
      </c>
      <c r="O58" s="28" t="n"/>
      <c r="P58" s="28" t="inlineStr">
        <is>
          <t>192 area / 58 tower</t>
        </is>
      </c>
      <c r="Q58" s="28" t="inlineStr">
        <is>
          <t>See damage/effect note</t>
        </is>
      </c>
      <c r="R58" s="28" t="inlineStr">
        <is>
          <t>Zap spell object</t>
        </is>
      </c>
      <c r="S58" s="28" t="inlineStr">
        <is>
          <t>instant/no projectile</t>
        </is>
      </c>
      <c r="T58" s="28" t="inlineStr">
        <is>
          <t>N/A</t>
        </is>
      </c>
      <c r="U58" s="28" t="inlineStr">
        <is>
          <t>N/A</t>
        </is>
      </c>
      <c r="V58" s="28" t="inlineStr">
        <is>
          <t>N/A</t>
        </is>
      </c>
      <c r="W58" s="28" t="inlineStr">
        <is>
          <t>Instant small spell; stuns/resets and damages.</t>
        </is>
      </c>
      <c r="X58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58" s="28" t="inlineStr">
        <is>
          <t>https://www.deckshop.pro/card/stats
https://www.deckshop.pro/card/hitpoints
https://deckmelon.com/cards/zap
https://clashroyale.fandom.com/wiki/Zap</t>
        </is>
      </c>
      <c r="Z58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58" s="28" t="inlineStr">
        <is>
          <t>https://github.com/smlbiobot/cr-csv/blob/master/assets/csv_logic/characters.csv
https://github.com/smlbiobot/cr-csv/blob/master/assets/csv_logic/projectiles.csv</t>
        </is>
      </c>
      <c r="AB58" s="28" t="inlineStr">
        <is>
          <t>Current L11 from Deck Shop.</t>
        </is>
      </c>
      <c r="AC58" s="41" t="inlineStr">
        <is>
          <t>2.5</t>
        </is>
      </c>
      <c r="AD58" s="41" t="inlineStr">
        <is>
          <t>Spell AoE/effect radius</t>
        </is>
      </c>
      <c r="AE58" s="29" t="inlineStr">
        <is>
          <t>N/A</t>
        </is>
      </c>
      <c r="AF58" s="29" t="inlineStr">
        <is>
          <t>N/A</t>
        </is>
      </c>
      <c r="AG58" s="29" t="inlineStr">
        <is>
          <t>N/A</t>
        </is>
      </c>
    </row>
    <row r="59" ht="36" customHeight="1" s="31">
      <c r="A59" s="45" t="n">
        <v>58</v>
      </c>
      <c r="B59" s="22" t="inlineStr">
        <is>
          <t>Fireball</t>
        </is>
      </c>
      <c r="C59" s="22" t="inlineStr">
        <is>
          <t>Spell</t>
        </is>
      </c>
      <c r="D59" s="22" t="inlineStr">
        <is>
          <t>Rare</t>
        </is>
      </c>
      <c r="E59" s="45" t="n">
        <v>4</v>
      </c>
      <c r="F59" s="28" t="inlineStr">
        <is>
          <t>1</t>
        </is>
      </c>
      <c r="G59" s="28" t="inlineStr">
        <is>
          <t>Air &amp; ground</t>
        </is>
      </c>
      <c r="H59" s="28" t="inlineStr">
        <is>
          <t>Stationary / N/A</t>
        </is>
      </c>
      <c r="I59" s="39" t="inlineStr">
        <is>
          <t>N/A</t>
        </is>
      </c>
      <c r="J59" s="28" t="inlineStr">
        <is>
          <t>2.5 radius</t>
        </is>
      </c>
      <c r="K59" s="28" t="inlineStr">
        <is>
          <t>N/A</t>
        </is>
      </c>
      <c r="L59" s="28" t="inlineStr">
        <is>
          <t>Cast</t>
        </is>
      </c>
      <c r="M59" s="28" t="inlineStr">
        <is>
          <t>Traveling spell</t>
        </is>
      </c>
      <c r="N59" s="28" t="inlineStr">
        <is>
          <t>N/A</t>
        </is>
      </c>
      <c r="O59" s="28" t="n"/>
      <c r="P59" s="28" t="inlineStr">
        <is>
          <t>688 area / 207 tower</t>
        </is>
      </c>
      <c r="Q59" s="28" t="inlineStr">
        <is>
          <t>See damage/effect note</t>
        </is>
      </c>
      <c r="R59" s="28" t="inlineStr">
        <is>
          <t>Fireball spell object</t>
        </is>
      </c>
      <c r="S59" s="28" t="inlineStr">
        <is>
          <t>600 spell</t>
        </is>
      </c>
      <c r="T59" s="28" t="inlineStr">
        <is>
          <t>N/A</t>
        </is>
      </c>
      <c r="U59" s="28" t="inlineStr">
        <is>
          <t>N/A</t>
        </is>
      </c>
      <c r="V59" s="28" t="inlineStr">
        <is>
          <t>N/A</t>
        </is>
      </c>
      <c r="W59" s="28" t="inlineStr">
        <is>
          <t>Medium-radius damage with knockback.</t>
        </is>
      </c>
      <c r="X59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59" s="28" t="inlineStr">
        <is>
          <t>https://www.deckshop.pro/card/stats
https://www.deckshop.pro/card/hitpoints
https://deckmelon.com/cards/fireball
https://clashroyale.fandom.com/wiki/Fireball</t>
        </is>
      </c>
      <c r="Z59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59" s="28" t="inlineStr">
        <is>
          <t>https://github.com/smlbiobot/cr-csv/blob/master/assets/csv_logic/characters.csv
https://github.com/smlbiobot/cr-csv/blob/master/assets/csv_logic/projectiles.csv</t>
        </is>
      </c>
      <c r="AB59" s="28" t="inlineStr">
        <is>
          <t>Current L11 from Fandom; pushback is current 1.0 tile value after 2022 balance change.</t>
        </is>
      </c>
      <c r="AC59" s="41" t="inlineStr">
        <is>
          <t>2.5</t>
        </is>
      </c>
      <c r="AD59" s="41" t="inlineStr">
        <is>
          <t>Spell AoE/effect radius</t>
        </is>
      </c>
      <c r="AE59" s="29" t="inlineStr">
        <is>
          <t>N/A</t>
        </is>
      </c>
      <c r="AF59" s="29" t="inlineStr">
        <is>
          <t>N/A</t>
        </is>
      </c>
      <c r="AG59" s="46" t="n">
        <v>1</v>
      </c>
    </row>
    <row r="60" ht="36" customHeight="1" s="31">
      <c r="A60" s="45" t="n">
        <v>59</v>
      </c>
      <c r="B60" s="22" t="inlineStr">
        <is>
          <t>Rocket</t>
        </is>
      </c>
      <c r="C60" s="22" t="inlineStr">
        <is>
          <t>Spell</t>
        </is>
      </c>
      <c r="D60" s="22" t="inlineStr">
        <is>
          <t>Rare</t>
        </is>
      </c>
      <c r="E60" s="45" t="n">
        <v>6</v>
      </c>
      <c r="F60" s="28" t="inlineStr">
        <is>
          <t>1</t>
        </is>
      </c>
      <c r="G60" s="28" t="inlineStr">
        <is>
          <t>Air &amp; ground</t>
        </is>
      </c>
      <c r="H60" s="28" t="inlineStr">
        <is>
          <t>Stationary / N/A</t>
        </is>
      </c>
      <c r="I60" s="39" t="inlineStr">
        <is>
          <t>N/A</t>
        </is>
      </c>
      <c r="J60" s="28" t="inlineStr">
        <is>
          <t>2.0 radius</t>
        </is>
      </c>
      <c r="K60" s="28" t="inlineStr">
        <is>
          <t>N/A</t>
        </is>
      </c>
      <c r="L60" s="28" t="inlineStr">
        <is>
          <t>Cast</t>
        </is>
      </c>
      <c r="M60" s="28" t="inlineStr">
        <is>
          <t>Traveling spell</t>
        </is>
      </c>
      <c r="N60" s="28" t="inlineStr">
        <is>
          <t>N/A</t>
        </is>
      </c>
      <c r="O60" s="28" t="n"/>
      <c r="P60" s="28" t="inlineStr">
        <is>
          <t>1,484 area / ~445 tower</t>
        </is>
      </c>
      <c r="Q60" s="28" t="inlineStr">
        <is>
          <t>See damage/effect note</t>
        </is>
      </c>
      <c r="R60" s="28" t="inlineStr">
        <is>
          <t>Rocket spell object</t>
        </is>
      </c>
      <c r="S60" s="28" t="inlineStr">
        <is>
          <t>350 spell</t>
        </is>
      </c>
      <c r="T60" s="28" t="inlineStr">
        <is>
          <t>N/A</t>
        </is>
      </c>
      <c r="U60" s="28" t="inlineStr">
        <is>
          <t>N/A</t>
        </is>
      </c>
      <c r="V60" s="28" t="inlineStr">
        <is>
          <t>N/A</t>
        </is>
      </c>
      <c r="W60" s="28" t="inlineStr">
        <is>
          <t>High-damage spell; slow travel; small radius.</t>
        </is>
      </c>
      <c r="X60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60" s="28" t="inlineStr">
        <is>
          <t>https://www.deckshop.pro/card/stats
https://www.deckshop.pro/card/hitpoints
https://deckmelon.com/cards/rocket
https://clashroyale.fandom.com/wiki/Rocket</t>
        </is>
      </c>
      <c r="Z60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60" s="28" t="inlineStr">
        <is>
          <t>https://github.com/smlbiobot/cr-csv/blob/master/assets/csv_logic/characters.csv
https://github.com/smlbiobot/cr-csv/blob/master/assets/csv_logic/projectiles.csv</t>
        </is>
      </c>
      <c r="AB60" s="28" t="inlineStr">
        <is>
          <t>Current L11 from Deck Shop; tower value rounded/community/datamine-derived.</t>
        </is>
      </c>
      <c r="AC60" s="41" t="inlineStr">
        <is>
          <t>2.0</t>
        </is>
      </c>
      <c r="AD60" s="41" t="inlineStr">
        <is>
          <t>Spell AoE/effect radius</t>
        </is>
      </c>
      <c r="AE60" s="29" t="inlineStr">
        <is>
          <t>N/A</t>
        </is>
      </c>
      <c r="AF60" s="29" t="inlineStr">
        <is>
          <t>N/A</t>
        </is>
      </c>
      <c r="AG60" s="46" t="n">
        <v>1.8</v>
      </c>
    </row>
    <row r="61" ht="36" customHeight="1" s="31">
      <c r="A61" s="45" t="n">
        <v>60</v>
      </c>
      <c r="B61" s="22" t="inlineStr">
        <is>
          <t>Goblin Barrel</t>
        </is>
      </c>
      <c r="C61" s="22" t="inlineStr">
        <is>
          <t>Spell</t>
        </is>
      </c>
      <c r="D61" s="22" t="inlineStr">
        <is>
          <t>Epic</t>
        </is>
      </c>
      <c r="E61" s="45" t="n">
        <v>3</v>
      </c>
      <c r="F61" s="28" t="inlineStr">
        <is>
          <t>3 Goblins</t>
        </is>
      </c>
      <c r="G61" s="28" t="inlineStr">
        <is>
          <t>Buildings/ground after spawn</t>
        </is>
      </c>
      <c r="H61" s="28" t="inlineStr">
        <is>
          <t>Stationary / N/A</t>
        </is>
      </c>
      <c r="I61" s="39" t="inlineStr">
        <is>
          <t>N/A</t>
        </is>
      </c>
      <c r="J61" s="28" t="inlineStr">
        <is>
          <t>1.5 radius</t>
        </is>
      </c>
      <c r="K61" s="28" t="inlineStr">
        <is>
          <t>N/A</t>
        </is>
      </c>
      <c r="L61" s="28" t="inlineStr">
        <is>
          <t>Cast</t>
        </is>
      </c>
      <c r="M61" s="28" t="inlineStr">
        <is>
          <t>Traveling barrel</t>
        </is>
      </c>
      <c r="N61" s="28" t="inlineStr">
        <is>
          <t>N/A</t>
        </is>
      </c>
      <c r="O61" s="28" t="n"/>
      <c r="P61" s="28" t="inlineStr">
        <is>
          <t>Spawns 3 Goblins; no direct spell damage</t>
        </is>
      </c>
      <c r="Q61" s="28" t="inlineStr">
        <is>
          <t>See damage/effect note</t>
        </is>
      </c>
      <c r="R61" s="28" t="inlineStr">
        <is>
          <t>Goblin Barrel spell object</t>
        </is>
      </c>
      <c r="S61" s="28" t="inlineStr">
        <is>
          <t>400 spell</t>
        </is>
      </c>
      <c r="T61" s="28" t="inlineStr">
        <is>
          <t>N/A</t>
        </is>
      </c>
      <c r="U61" s="28" t="inlineStr">
        <is>
          <t>N/A</t>
        </is>
      </c>
      <c r="V61" s="28" t="inlineStr">
        <is>
          <t>N/A</t>
        </is>
      </c>
      <c r="W61" s="28" t="inlineStr">
        <is>
          <t>Projectile spell that spawns three Goblins anywhere.</t>
        </is>
      </c>
      <c r="X61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61" s="28" t="inlineStr">
        <is>
          <t>https://www.deckshop.pro/card/stats
https://www.deckshop.pro/card/hitpoints
https://deckmelon.com/cards/goblin-barrel
https://clashroyale.fandom.com/wiki/Goblin_Barrel</t>
        </is>
      </c>
      <c r="Z61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61" s="28" t="inlineStr">
        <is>
          <t>https://github.com/smlbiobot/cr-csv/blob/master/assets/csv_logic/characters.csv
https://github.com/smlbiobot/cr-csv/blob/master/assets/csv_logic/projectiles.csv</t>
        </is>
      </c>
      <c r="AB61" s="28" t="inlineStr">
        <is>
          <t>Clarified: spell creates Goblins, not a damage splash.</t>
        </is>
      </c>
      <c r="AC61" s="41" t="inlineStr">
        <is>
          <t>1.5 deploy radius</t>
        </is>
      </c>
      <c r="AD61" s="28" t="inlineStr">
        <is>
          <t>Spawn radius; no spell damage</t>
        </is>
      </c>
      <c r="AE61" s="29" t="inlineStr">
        <is>
          <t>0.2 spawned Goblins</t>
        </is>
      </c>
      <c r="AF61" s="29" t="inlineStr">
        <is>
          <t>0.9 spawned Goblins</t>
        </is>
      </c>
      <c r="AG61" s="29" t="inlineStr">
        <is>
          <t>N/A</t>
        </is>
      </c>
    </row>
    <row r="62" ht="36" customHeight="1" s="31">
      <c r="A62" s="45" t="n">
        <v>61</v>
      </c>
      <c r="B62" s="22" t="inlineStr">
        <is>
          <t>Lightning</t>
        </is>
      </c>
      <c r="C62" s="22" t="inlineStr">
        <is>
          <t>Spell</t>
        </is>
      </c>
      <c r="D62" s="22" t="inlineStr">
        <is>
          <t>Epic</t>
        </is>
      </c>
      <c r="E62" s="45" t="n">
        <v>6</v>
      </c>
      <c r="F62" s="28" t="inlineStr">
        <is>
          <t>1</t>
        </is>
      </c>
      <c r="G62" s="28" t="inlineStr">
        <is>
          <t>Air &amp; ground; 3 highest HP targets</t>
        </is>
      </c>
      <c r="H62" s="28" t="inlineStr">
        <is>
          <t>Stationary / N/A</t>
        </is>
      </c>
      <c r="I62" s="39" t="inlineStr">
        <is>
          <t>N/A</t>
        </is>
      </c>
      <c r="J62" s="28" t="inlineStr">
        <is>
          <t>3.5 radius</t>
        </is>
      </c>
      <c r="K62" s="28" t="inlineStr">
        <is>
          <t>N/A</t>
        </is>
      </c>
      <c r="L62" s="28" t="inlineStr">
        <is>
          <t>Cast</t>
        </is>
      </c>
      <c r="M62" s="28" t="inlineStr">
        <is>
          <t>Instant-ish strike selector</t>
        </is>
      </c>
      <c r="N62" s="28" t="inlineStr">
        <is>
          <t>N/A</t>
        </is>
      </c>
      <c r="O62" s="28" t="n"/>
      <c r="P62" s="28" t="inlineStr">
        <is>
          <t>1,057 to up to 3 targets / ~317 tower</t>
        </is>
      </c>
      <c r="Q62" s="28" t="inlineStr">
        <is>
          <t>See damage/effect note</t>
        </is>
      </c>
      <c r="R62" s="28" t="inlineStr">
        <is>
          <t>Lightning spell object</t>
        </is>
      </c>
      <c r="S62" s="28" t="inlineStr">
        <is>
          <t>500 spell marker</t>
        </is>
      </c>
      <c r="T62" s="28" t="inlineStr">
        <is>
          <t>N/A</t>
        </is>
      </c>
      <c r="U62" s="28" t="inlineStr">
        <is>
          <t>N/A</t>
        </is>
      </c>
      <c r="V62" s="28" t="inlineStr">
        <is>
          <t>N/A</t>
        </is>
      </c>
      <c r="W62" s="28" t="inlineStr">
        <is>
          <t>Hits up to three highest-HP targets in radius; stun/reset.</t>
        </is>
      </c>
      <c r="X62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62" s="28" t="inlineStr">
        <is>
          <t>https://www.deckshop.pro/card/stats
https://www.deckshop.pro/card/hitpoints
https://deckmelon.com/cards/lightning
https://clashroyale.fandom.com/wiki/Lightning</t>
        </is>
      </c>
      <c r="Z62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62" s="28" t="inlineStr">
        <is>
          <t>https://github.com/smlbiobot/cr-csv/blob/master/assets/csv_logic/characters.csv
https://github.com/smlbiobot/cr-csv/blob/master/assets/csv_logic/projectiles.csv</t>
        </is>
      </c>
      <c r="AB62" s="28" t="inlineStr">
        <is>
          <t>Current L11 community/datamine-derived overview.</t>
        </is>
      </c>
      <c r="AC62" s="41" t="inlineStr">
        <is>
          <t>3.5</t>
        </is>
      </c>
      <c r="AD62" s="28" t="inlineStr">
        <is>
          <t>Spell strike radius; hits up to 3 highest-HP targets</t>
        </is>
      </c>
      <c r="AE62" s="29" t="inlineStr">
        <is>
          <t>N/A</t>
        </is>
      </c>
      <c r="AF62" s="29" t="inlineStr">
        <is>
          <t>N/A</t>
        </is>
      </c>
      <c r="AG62" s="29" t="inlineStr">
        <is>
          <t>N/A</t>
        </is>
      </c>
    </row>
    <row r="63" ht="36" customHeight="1" s="31">
      <c r="A63" s="45" t="n">
        <v>62</v>
      </c>
      <c r="B63" s="22" t="inlineStr">
        <is>
          <t>Freeze</t>
        </is>
      </c>
      <c r="C63" s="22" t="inlineStr">
        <is>
          <t>Spell</t>
        </is>
      </c>
      <c r="D63" s="22" t="inlineStr">
        <is>
          <t>Epic</t>
        </is>
      </c>
      <c r="E63" s="45" t="n">
        <v>4</v>
      </c>
      <c r="F63" s="28" t="inlineStr">
        <is>
          <t>1</t>
        </is>
      </c>
      <c r="G63" s="28" t="inlineStr">
        <is>
          <t>Air &amp; ground; freezes/stuns targets</t>
        </is>
      </c>
      <c r="H63" s="28" t="inlineStr">
        <is>
          <t>Stationary / N/A</t>
        </is>
      </c>
      <c r="I63" s="39" t="inlineStr">
        <is>
          <t>N/A</t>
        </is>
      </c>
      <c r="J63" s="28" t="inlineStr">
        <is>
          <t>3.0 radius</t>
        </is>
      </c>
      <c r="K63" s="28" t="inlineStr">
        <is>
          <t>N/A</t>
        </is>
      </c>
      <c r="L63" s="28" t="inlineStr">
        <is>
          <t>Cast</t>
        </is>
      </c>
      <c r="M63" s="28" t="inlineStr">
        <is>
          <t>3.0s</t>
        </is>
      </c>
      <c r="N63" s="28" t="inlineStr">
        <is>
          <t>N/A</t>
        </is>
      </c>
      <c r="O63" s="28" t="n"/>
      <c r="P63" s="28" t="inlineStr">
        <is>
          <t>148 area + 3s freeze</t>
        </is>
      </c>
      <c r="Q63" s="28" t="inlineStr">
        <is>
          <t>See damage/effect note</t>
        </is>
      </c>
      <c r="R63" s="28" t="inlineStr">
        <is>
          <t>Freeze spell object</t>
        </is>
      </c>
      <c r="S63" s="28" t="inlineStr">
        <is>
          <t>instant/no projectile</t>
        </is>
      </c>
      <c r="T63" s="28" t="inlineStr">
        <is>
          <t>N/A</t>
        </is>
      </c>
      <c r="U63" s="28" t="inlineStr">
        <is>
          <t>N/A</t>
        </is>
      </c>
      <c r="V63" s="28" t="inlineStr">
        <is>
          <t>N/A</t>
        </is>
      </c>
      <c r="W63" s="28" t="inlineStr">
        <is>
          <t>Freezes/stuns and deals small damage.</t>
        </is>
      </c>
      <c r="X63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63" s="28" t="inlineStr">
        <is>
          <t>https://www.deckshop.pro/card/stats
https://www.deckshop.pro/card/hitpoints
https://deckmelon.com/cards/freeze
https://clashroyale.fandom.com/wiki/Freeze</t>
        </is>
      </c>
      <c r="Z63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63" s="28" t="inlineStr">
        <is>
          <t>https://github.com/smlbiobot/cr-csv/blob/master/assets/csv_logic/characters.csv
https://github.com/smlbiobot/cr-csv/blob/master/assets/csv_logic/projectiles.csv</t>
        </is>
      </c>
      <c r="AB63" s="28" t="inlineStr">
        <is>
          <t>Current L11 from Deck Shop/stats.</t>
        </is>
      </c>
      <c r="AC63" s="41" t="inlineStr">
        <is>
          <t>3.0</t>
        </is>
      </c>
      <c r="AD63" s="41" t="inlineStr">
        <is>
          <t>Spell AoE/effect radius</t>
        </is>
      </c>
      <c r="AE63" s="29" t="inlineStr">
        <is>
          <t>N/A</t>
        </is>
      </c>
      <c r="AF63" s="29" t="inlineStr">
        <is>
          <t>N/A</t>
        </is>
      </c>
      <c r="AG63" s="29" t="inlineStr">
        <is>
          <t>N/A</t>
        </is>
      </c>
    </row>
    <row r="64" ht="36" customHeight="1" s="31">
      <c r="A64" s="45" t="n">
        <v>63</v>
      </c>
      <c r="B64" s="22" t="inlineStr">
        <is>
          <t>Poison</t>
        </is>
      </c>
      <c r="C64" s="22" t="inlineStr">
        <is>
          <t>Spell</t>
        </is>
      </c>
      <c r="D64" s="22" t="inlineStr">
        <is>
          <t>Epic</t>
        </is>
      </c>
      <c r="E64" s="45" t="n">
        <v>4</v>
      </c>
      <c r="F64" s="28" t="inlineStr">
        <is>
          <t>1</t>
        </is>
      </c>
      <c r="G64" s="28" t="inlineStr">
        <is>
          <t>Air &amp; ground over time</t>
        </is>
      </c>
      <c r="H64" s="28" t="inlineStr">
        <is>
          <t>Stationary / N/A</t>
        </is>
      </c>
      <c r="I64" s="39" t="inlineStr">
        <is>
          <t>N/A</t>
        </is>
      </c>
      <c r="J64" s="28" t="inlineStr">
        <is>
          <t>3.5 radius</t>
        </is>
      </c>
      <c r="K64" s="28" t="inlineStr">
        <is>
          <t>N/A</t>
        </is>
      </c>
      <c r="L64" s="28" t="inlineStr">
        <is>
          <t>Cast</t>
        </is>
      </c>
      <c r="M64" s="28" t="inlineStr">
        <is>
          <t>8.0s</t>
        </is>
      </c>
      <c r="N64" s="28" t="inlineStr">
        <is>
          <t>N/A</t>
        </is>
      </c>
      <c r="O64" s="28" t="n"/>
      <c r="P64" s="28" t="inlineStr">
        <is>
          <t>736 total over 8s / ~222 tower</t>
        </is>
      </c>
      <c r="Q64" s="28" t="inlineStr">
        <is>
          <t>See damage/effect note</t>
        </is>
      </c>
      <c r="R64" s="28" t="inlineStr">
        <is>
          <t>Poison spell object</t>
        </is>
      </c>
      <c r="S64" s="28" t="inlineStr">
        <is>
          <t>area-over-time/no projectile</t>
        </is>
      </c>
      <c r="T64" s="28" t="inlineStr">
        <is>
          <t>N/A</t>
        </is>
      </c>
      <c r="U64" s="28" t="inlineStr">
        <is>
          <t>N/A</t>
        </is>
      </c>
      <c r="V64" s="28" t="inlineStr">
        <is>
          <t>N/A</t>
        </is>
      </c>
      <c r="W64" s="28" t="inlineStr">
        <is>
          <t>Area denial damage over time; slows troop/building attacks and movement? (current slow behavior community/datamine-derived).</t>
        </is>
      </c>
      <c r="X64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64" s="28" t="inlineStr">
        <is>
          <t>https://www.deckshop.pro/card/stats
https://www.deckshop.pro/card/hitpoints
https://deckmelon.com/cards/poison
https://clashroyale.fandom.com/wiki/Poison</t>
        </is>
      </c>
      <c r="Z64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64" s="28" t="inlineStr">
        <is>
          <t>https://github.com/smlbiobot/cr-csv/blob/master/assets/csv_logic/characters.csv
https://github.com/smlbiobot/cr-csv/blob/master/assets/csv_logic/projectiles.csv</t>
        </is>
      </c>
      <c r="AB64" s="28" t="inlineStr">
        <is>
          <t>Current L11 community/datamine-derived overview.</t>
        </is>
      </c>
      <c r="AC64" s="41" t="inlineStr">
        <is>
          <t>3.5</t>
        </is>
      </c>
      <c r="AD64" s="28" t="inlineStr">
        <is>
          <t>Spell AoE/effect radius over duration</t>
        </is>
      </c>
      <c r="AE64" s="29" t="inlineStr">
        <is>
          <t>N/A</t>
        </is>
      </c>
      <c r="AF64" s="29" t="inlineStr">
        <is>
          <t>N/A</t>
        </is>
      </c>
      <c r="AG64" s="29" t="inlineStr">
        <is>
          <t>N/A</t>
        </is>
      </c>
    </row>
    <row r="65" ht="36" customHeight="1" s="31">
      <c r="A65" s="45" t="n">
        <v>64</v>
      </c>
      <c r="B65" s="22" t="inlineStr">
        <is>
          <t>Rage</t>
        </is>
      </c>
      <c r="C65" s="22" t="inlineStr">
        <is>
          <t>Spell</t>
        </is>
      </c>
      <c r="D65" s="22" t="inlineStr">
        <is>
          <t>Epic</t>
        </is>
      </c>
      <c r="E65" s="45" t="n">
        <v>2</v>
      </c>
      <c r="F65" s="28" t="inlineStr">
        <is>
          <t>1</t>
        </is>
      </c>
      <c r="G65" s="28" t="inlineStr">
        <is>
          <t>Friendly units/buildings buff; also damages enemies</t>
        </is>
      </c>
      <c r="H65" s="28" t="inlineStr">
        <is>
          <t>Stationary / N/A</t>
        </is>
      </c>
      <c r="I65" s="39" t="inlineStr">
        <is>
          <t>N/A</t>
        </is>
      </c>
      <c r="J65" s="28" t="inlineStr">
        <is>
          <t>3.0 radius</t>
        </is>
      </c>
      <c r="K65" s="28" t="inlineStr">
        <is>
          <t>N/A</t>
        </is>
      </c>
      <c r="L65" s="28" t="inlineStr">
        <is>
          <t>Cast</t>
        </is>
      </c>
      <c r="M65" s="28" t="inlineStr">
        <is>
          <t>4.5s</t>
        </is>
      </c>
      <c r="N65" s="28" t="inlineStr">
        <is>
          <t>N/A</t>
        </is>
      </c>
      <c r="O65" s="28" t="n"/>
      <c r="P65" s="28" t="inlineStr">
        <is>
          <t>192 area + 4.5s Rage</t>
        </is>
      </c>
      <c r="Q65" s="28" t="inlineStr">
        <is>
          <t>See damage/effect note</t>
        </is>
      </c>
      <c r="R65" s="28" t="inlineStr">
        <is>
          <t>Rage spell object</t>
        </is>
      </c>
      <c r="S65" s="28" t="inlineStr">
        <is>
          <t>instant/no projectile</t>
        </is>
      </c>
      <c r="T65" s="28" t="inlineStr">
        <is>
          <t>N/A</t>
        </is>
      </c>
      <c r="U65" s="28" t="inlineStr">
        <is>
          <t>N/A</t>
        </is>
      </c>
      <c r="V65" s="28" t="inlineStr">
        <is>
          <t>N/A</t>
        </is>
      </c>
      <c r="W65" s="28" t="inlineStr">
        <is>
          <t>Buffs friendly movement/attack speed and damages enemies in radius.</t>
        </is>
      </c>
      <c r="X65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65" s="28" t="inlineStr">
        <is>
          <t>https://www.deckshop.pro/card/stats
https://www.deckshop.pro/card/hitpoints
https://deckmelon.com/cards/rage
https://clashroyale.fandom.com/wiki/Rage</t>
        </is>
      </c>
      <c r="Z65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65" s="28" t="inlineStr">
        <is>
          <t>https://github.com/smlbiobot/cr-csv/blob/master/assets/csv_logic/characters.csv
https://github.com/smlbiobot/cr-csv/blob/master/assets/csv_logic/projectiles.csv</t>
        </is>
      </c>
      <c r="AB65" s="28" t="inlineStr">
        <is>
          <t>Current L11 from Deck Shop/stats.</t>
        </is>
      </c>
      <c r="AC65" s="41" t="inlineStr">
        <is>
          <t>3.0</t>
        </is>
      </c>
      <c r="AD65" s="41" t="inlineStr">
        <is>
          <t>Spell AoE/effect radius</t>
        </is>
      </c>
      <c r="AE65" s="29" t="inlineStr">
        <is>
          <t>N/A</t>
        </is>
      </c>
      <c r="AF65" s="29" t="inlineStr">
        <is>
          <t>N/A</t>
        </is>
      </c>
      <c r="AG65" s="29" t="inlineStr">
        <is>
          <t>N/A</t>
        </is>
      </c>
    </row>
    <row r="66" ht="36" customHeight="1" s="31">
      <c r="A66" s="45" t="n">
        <v>65</v>
      </c>
      <c r="B66" s="22" t="inlineStr">
        <is>
          <t>Clone</t>
        </is>
      </c>
      <c r="C66" s="22" t="inlineStr">
        <is>
          <t>Spell</t>
        </is>
      </c>
      <c r="D66" s="22" t="inlineStr">
        <is>
          <t>Epic</t>
        </is>
      </c>
      <c r="E66" s="45" t="n">
        <v>3</v>
      </c>
      <c r="F66" s="28" t="inlineStr">
        <is>
          <t>1</t>
        </is>
      </c>
      <c r="G66" s="28" t="inlineStr">
        <is>
          <t>Friendly units only</t>
        </is>
      </c>
      <c r="H66" s="28" t="inlineStr">
        <is>
          <t>Stationary / N/A</t>
        </is>
      </c>
      <c r="I66" s="39" t="inlineStr">
        <is>
          <t>N/A</t>
        </is>
      </c>
      <c r="J66" s="28" t="inlineStr">
        <is>
          <t>3.0 radius</t>
        </is>
      </c>
      <c r="K66" s="28" t="inlineStr">
        <is>
          <t>N/A</t>
        </is>
      </c>
      <c r="L66" s="28" t="inlineStr">
        <is>
          <t>Cast</t>
        </is>
      </c>
      <c r="M66" s="28" t="inlineStr">
        <is>
          <t>Instant field</t>
        </is>
      </c>
      <c r="N66" s="28" t="inlineStr">
        <is>
          <t>N/A</t>
        </is>
      </c>
      <c r="O66" s="28" t="n"/>
      <c r="P66" s="28" t="inlineStr">
        <is>
          <t>Copies friendly units with 1 HP</t>
        </is>
      </c>
      <c r="Q66" s="28" t="inlineStr">
        <is>
          <t>See damage/effect note</t>
        </is>
      </c>
      <c r="R66" s="28" t="inlineStr">
        <is>
          <t>Clone spell object</t>
        </is>
      </c>
      <c r="S66" s="28" t="inlineStr">
        <is>
          <t>instant/no projectile</t>
        </is>
      </c>
      <c r="T66" s="28" t="inlineStr">
        <is>
          <t>N/A</t>
        </is>
      </c>
      <c r="U66" s="28" t="inlineStr">
        <is>
          <t>N/A</t>
        </is>
      </c>
      <c r="V66" s="28" t="inlineStr">
        <is>
          <t>N/A</t>
        </is>
      </c>
      <c r="W66" s="28" t="inlineStr">
        <is>
          <t>Creates fragile 1-HP copies of friendly troops.</t>
        </is>
      </c>
      <c r="X66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66" s="28" t="inlineStr">
        <is>
          <t>https://www.deckshop.pro/card/stats
https://www.deckshop.pro/card/hitpoints
https://deckmelon.com/cards/clone
https://clashroyale.fandom.com/wiki/Clone</t>
        </is>
      </c>
      <c r="Z66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66" s="28" t="inlineStr">
        <is>
          <t>https://github.com/smlbiobot/cr-csv/blob/master/assets/csv_logic/characters.csv
https://github.com/smlbiobot/cr-csv/blob/master/assets/csv_logic/projectiles.csv</t>
        </is>
      </c>
      <c r="AB66" s="28" t="inlineStr">
        <is>
          <t>No direct damage.</t>
        </is>
      </c>
      <c r="AC66" s="41" t="inlineStr">
        <is>
          <t>3.0</t>
        </is>
      </c>
      <c r="AD66" s="41" t="inlineStr">
        <is>
          <t>Spell clone radius</t>
        </is>
      </c>
      <c r="AE66" s="29" t="inlineStr">
        <is>
          <t>Cloned units inherit source timing</t>
        </is>
      </c>
      <c r="AF66" s="29" t="inlineStr">
        <is>
          <t>Cloned units inherit source timing</t>
        </is>
      </c>
      <c r="AG66" s="29" t="inlineStr">
        <is>
          <t>N/A</t>
        </is>
      </c>
    </row>
    <row r="67" ht="36" customHeight="1" s="31">
      <c r="A67" s="45" t="n">
        <v>66</v>
      </c>
      <c r="B67" s="22" t="inlineStr">
        <is>
          <t>Tornado</t>
        </is>
      </c>
      <c r="C67" s="22" t="inlineStr">
        <is>
          <t>Spell</t>
        </is>
      </c>
      <c r="D67" s="22" t="inlineStr">
        <is>
          <t>Epic</t>
        </is>
      </c>
      <c r="E67" s="45" t="n">
        <v>3</v>
      </c>
      <c r="F67" s="28" t="inlineStr">
        <is>
          <t>1</t>
        </is>
      </c>
      <c r="G67" s="28" t="inlineStr">
        <is>
          <t>Air &amp; ground; pulls enemies</t>
        </is>
      </c>
      <c r="H67" s="28" t="inlineStr">
        <is>
          <t>Stationary / N/A</t>
        </is>
      </c>
      <c r="I67" s="39" t="inlineStr">
        <is>
          <t>N/A</t>
        </is>
      </c>
      <c r="J67" s="28" t="inlineStr">
        <is>
          <t>5.5 radius</t>
        </is>
      </c>
      <c r="K67" s="28" t="inlineStr">
        <is>
          <t>N/A</t>
        </is>
      </c>
      <c r="L67" s="28" t="inlineStr">
        <is>
          <t>Cast</t>
        </is>
      </c>
      <c r="M67" s="28" t="inlineStr">
        <is>
          <t>1.1s</t>
        </is>
      </c>
      <c r="N67" s="28" t="inlineStr">
        <is>
          <t>N/A</t>
        </is>
      </c>
      <c r="O67" s="28" t="n"/>
      <c r="P67" s="28" t="inlineStr">
        <is>
          <t>84 total / 26 tower + 1.1s pull</t>
        </is>
      </c>
      <c r="Q67" s="28" t="inlineStr">
        <is>
          <t>See damage/effect note</t>
        </is>
      </c>
      <c r="R67" s="28" t="inlineStr">
        <is>
          <t>Tornado spell object</t>
        </is>
      </c>
      <c r="S67" s="28" t="inlineStr">
        <is>
          <t>pull field/no projectile</t>
        </is>
      </c>
      <c r="T67" s="28" t="inlineStr">
        <is>
          <t>N/A</t>
        </is>
      </c>
      <c r="U67" s="28" t="inlineStr">
        <is>
          <t>N/A</t>
        </is>
      </c>
      <c r="V67" s="28" t="inlineStr">
        <is>
          <t>N/A</t>
        </is>
      </c>
      <c r="W67" s="28" t="inlineStr">
        <is>
          <t>Pulls enemy troops; activates King Tower setups.</t>
        </is>
      </c>
      <c r="X67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67" s="28" t="inlineStr">
        <is>
          <t>https://www.deckshop.pro/card/stats
https://www.deckshop.pro/card/hitpoints
https://deckmelon.com/cards/tornado
https://clashroyale.fandom.com/wiki/Tornado</t>
        </is>
      </c>
      <c r="Z67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67" s="28" t="inlineStr">
        <is>
          <t>https://github.com/smlbiobot/cr-csv/blob/master/assets/csv_logic/characters.csv
https://github.com/smlbiobot/cr-csv/blob/master/assets/csv_logic/projectiles.csv</t>
        </is>
      </c>
      <c r="AB67" s="28" t="inlineStr">
        <is>
          <t>Current L11 from Deck Shop/stats.</t>
        </is>
      </c>
      <c r="AC67" s="41" t="inlineStr">
        <is>
          <t>5.5</t>
        </is>
      </c>
      <c r="AD67" s="41" t="inlineStr">
        <is>
          <t>Pull/damage radius</t>
        </is>
      </c>
      <c r="AE67" s="29" t="inlineStr">
        <is>
          <t>N/A</t>
        </is>
      </c>
      <c r="AF67" s="29" t="inlineStr">
        <is>
          <t>N/A</t>
        </is>
      </c>
      <c r="AG67" s="29" t="inlineStr">
        <is>
          <t>N/A</t>
        </is>
      </c>
    </row>
    <row r="68" ht="36" customHeight="1" s="31">
      <c r="A68" s="45" t="n">
        <v>67</v>
      </c>
      <c r="B68" s="22" t="inlineStr">
        <is>
          <t>Mirror</t>
        </is>
      </c>
      <c r="C68" s="22" t="inlineStr">
        <is>
          <t>Spell</t>
        </is>
      </c>
      <c r="D68" s="22" t="inlineStr">
        <is>
          <t>Epic</t>
        </is>
      </c>
      <c r="E68" s="45" t="n">
        <v>1</v>
      </c>
      <c r="F68" s="28" t="inlineStr">
        <is>
          <t>1</t>
        </is>
      </c>
      <c r="G68" s="28" t="inlineStr">
        <is>
          <t>Repeats previous card</t>
        </is>
      </c>
      <c r="H68" s="28" t="inlineStr">
        <is>
          <t>Stationary / N/A</t>
        </is>
      </c>
      <c r="I68" s="39" t="inlineStr">
        <is>
          <t>N/A</t>
        </is>
      </c>
      <c r="J68" s="28" t="inlineStr">
        <is>
          <t>N/A</t>
        </is>
      </c>
      <c r="K68" s="28" t="inlineStr">
        <is>
          <t>N/A</t>
        </is>
      </c>
      <c r="L68" s="28" t="inlineStr">
        <is>
          <t>Cast</t>
        </is>
      </c>
      <c r="M68" s="28" t="inlineStr">
        <is>
          <t>N/A</t>
        </is>
      </c>
      <c r="N68" s="28" t="inlineStr">
        <is>
          <t>N/A</t>
        </is>
      </c>
      <c r="O68" s="28" t="n"/>
      <c r="P68" s="28" t="inlineStr">
        <is>
          <t>Mirrors previous card at +1 level; no direct damage/effect</t>
        </is>
      </c>
      <c r="Q68" s="28" t="inlineStr">
        <is>
          <t>See damage/effect note</t>
        </is>
      </c>
      <c r="R68" s="28" t="inlineStr">
        <is>
          <t>Mirror spell object</t>
        </is>
      </c>
      <c r="S68" s="28" t="inlineStr">
        <is>
          <t>no projectile</t>
        </is>
      </c>
      <c r="T68" s="28" t="inlineStr">
        <is>
          <t>N/A</t>
        </is>
      </c>
      <c r="U68" s="28" t="inlineStr">
        <is>
          <t>N/A</t>
        </is>
      </c>
      <c r="V68" s="28" t="inlineStr">
        <is>
          <t>N/A</t>
        </is>
      </c>
      <c r="W68" s="28" t="inlineStr">
        <is>
          <t>Repeats the last played card with modified elixir/level behavior.</t>
        </is>
      </c>
      <c r="X68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68" s="28" t="inlineStr">
        <is>
          <t>https://www.deckshop.pro/card/stats
https://www.deckshop.pro/card/hitpoints
https://deckmelon.com/cards/mirror
https://clashroyale.fandom.com/wiki/Mirror</t>
        </is>
      </c>
      <c r="Z68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68" s="28" t="inlineStr">
        <is>
          <t>https://github.com/smlbiobot/cr-csv/blob/master/assets/csv_logic/characters.csv
https://github.com/smlbiobot/cr-csv/blob/master/assets/csv_logic/projectiles.csv</t>
        </is>
      </c>
      <c r="AB68" s="28" t="inlineStr">
        <is>
          <t>Clarified non-damaging mirror effect; no range/splash.</t>
        </is>
      </c>
      <c r="AC68" s="41" t="inlineStr">
        <is>
          <t>N/A</t>
        </is>
      </c>
      <c r="AD68" s="28" t="inlineStr">
        <is>
          <t>No AoE; repeats previous card</t>
        </is>
      </c>
      <c r="AE68" s="29" t="inlineStr">
        <is>
          <t>Mirrored card inherits source timing</t>
        </is>
      </c>
      <c r="AF68" s="29" t="inlineStr">
        <is>
          <t>Mirrored card inherits source timing</t>
        </is>
      </c>
      <c r="AG68" s="29" t="inlineStr">
        <is>
          <t>N/A</t>
        </is>
      </c>
    </row>
    <row r="69" ht="36" customHeight="1" s="31">
      <c r="A69" s="45" t="n">
        <v>68</v>
      </c>
      <c r="B69" s="22" t="inlineStr">
        <is>
          <t>The Log</t>
        </is>
      </c>
      <c r="C69" s="22" t="inlineStr">
        <is>
          <t>Spell</t>
        </is>
      </c>
      <c r="D69" s="22" t="inlineStr">
        <is>
          <t>Legendary</t>
        </is>
      </c>
      <c r="E69" s="45" t="n">
        <v>2</v>
      </c>
      <c r="F69" s="28" t="inlineStr">
        <is>
          <t>1</t>
        </is>
      </c>
      <c r="G69" s="28" t="inlineStr">
        <is>
          <t>Ground only</t>
        </is>
      </c>
      <c r="H69" s="28" t="inlineStr">
        <is>
          <t>Stationary / N/A</t>
        </is>
      </c>
      <c r="I69" s="39" t="inlineStr">
        <is>
          <t>N/A</t>
        </is>
      </c>
      <c r="J69" s="28" t="inlineStr">
        <is>
          <t>10.1</t>
        </is>
      </c>
      <c r="K69" s="28" t="inlineStr">
        <is>
          <t>N/A</t>
        </is>
      </c>
      <c r="L69" s="28" t="inlineStr">
        <is>
          <t>Cast</t>
        </is>
      </c>
      <c r="M69" s="28" t="inlineStr">
        <is>
          <t>Rolling spell</t>
        </is>
      </c>
      <c r="N69" s="28" t="inlineStr">
        <is>
          <t>N/A</t>
        </is>
      </c>
      <c r="O69" s="28" t="n"/>
      <c r="P69" s="28" t="inlineStr">
        <is>
          <t>268 ground / 81 tower</t>
        </is>
      </c>
      <c r="Q69" s="28" t="inlineStr">
        <is>
          <t>See damage/effect note</t>
        </is>
      </c>
      <c r="R69" s="28" t="inlineStr">
        <is>
          <t>The Log spell object</t>
        </is>
      </c>
      <c r="S69" s="28" t="inlineStr">
        <is>
          <t>200 rolling spell</t>
        </is>
      </c>
      <c r="T69" s="28" t="inlineStr">
        <is>
          <t>N/A</t>
        </is>
      </c>
      <c r="U69" s="28" t="inlineStr">
        <is>
          <t>N/A</t>
        </is>
      </c>
      <c r="V69" s="28" t="inlineStr">
        <is>
          <t>N/A</t>
        </is>
      </c>
      <c r="W69" s="28" t="inlineStr">
        <is>
          <t>Ground-only rolling spell with knockback.</t>
        </is>
      </c>
      <c r="X69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69" s="28" t="inlineStr">
        <is>
          <t>https://www.deckshop.pro/card/stats
https://www.deckshop.pro/card/hitpoints
https://deckmelon.com/cards/the-log
https://clashroyale.fandom.com/wiki/The_Log</t>
        </is>
      </c>
      <c r="Z69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69" s="28" t="inlineStr">
        <is>
          <t>https://github.com/smlbiobot/cr-csv/blob/master/assets/csv_logic/characters.csv
https://github.com/smlbiobot/cr-csv/blob/master/assets/csv_logic/projectiles.csv</t>
        </is>
      </c>
      <c r="AB69" s="28" t="inlineStr">
        <is>
          <t>Current L11 from Deck Shop/stats.</t>
        </is>
      </c>
      <c r="AC69" s="41" t="inlineStr">
        <is>
          <t>10.1 path length</t>
        </is>
      </c>
      <c r="AD69" s="28" t="inlineStr">
        <is>
          <t>Linear rolling AoE/path, not circular radius</t>
        </is>
      </c>
      <c r="AE69" s="29" t="inlineStr">
        <is>
          <t>N/A</t>
        </is>
      </c>
      <c r="AF69" s="29" t="inlineStr">
        <is>
          <t>N/A</t>
        </is>
      </c>
      <c r="AG69" s="46" t="n">
        <v>1</v>
      </c>
    </row>
    <row r="70" ht="36" customHeight="1" s="31">
      <c r="A70" s="45" t="n">
        <v>69</v>
      </c>
      <c r="B70" s="22" t="inlineStr">
        <is>
          <t>Graveyard</t>
        </is>
      </c>
      <c r="C70" s="22" t="inlineStr">
        <is>
          <t>Spell</t>
        </is>
      </c>
      <c r="D70" s="22" t="inlineStr">
        <is>
          <t>Legendary</t>
        </is>
      </c>
      <c r="E70" s="45" t="n">
        <v>5</v>
      </c>
      <c r="F70" s="28" t="inlineStr">
        <is>
          <t>Skeletons over 9s</t>
        </is>
      </c>
      <c r="G70" s="28" t="inlineStr">
        <is>
          <t>Ground Skeleton spawns</t>
        </is>
      </c>
      <c r="H70" s="28" t="inlineStr">
        <is>
          <t>Stationary / N/A</t>
        </is>
      </c>
      <c r="I70" s="39" t="inlineStr">
        <is>
          <t>N/A</t>
        </is>
      </c>
      <c r="J70" s="28" t="inlineStr">
        <is>
          <t>4.0 radius</t>
        </is>
      </c>
      <c r="K70" s="28" t="inlineStr">
        <is>
          <t>N/A</t>
        </is>
      </c>
      <c r="L70" s="28" t="inlineStr">
        <is>
          <t>Cast</t>
        </is>
      </c>
      <c r="M70" s="28" t="inlineStr">
        <is>
          <t>9.0s</t>
        </is>
      </c>
      <c r="N70" s="28" t="inlineStr">
        <is>
          <t>N/A</t>
        </is>
      </c>
      <c r="O70" s="28" t="n"/>
      <c r="P70" s="28" t="inlineStr">
        <is>
          <t>Skeleton spawns over 9s</t>
        </is>
      </c>
      <c r="Q70" s="28" t="inlineStr">
        <is>
          <t>See damage/effect note</t>
        </is>
      </c>
      <c r="R70" s="28" t="inlineStr">
        <is>
          <t>Graveyard spell object</t>
        </is>
      </c>
      <c r="S70" s="28" t="inlineStr">
        <is>
          <t>spawn field/no projectile</t>
        </is>
      </c>
      <c r="T70" s="28" t="inlineStr">
        <is>
          <t>N/A</t>
        </is>
      </c>
      <c r="U70" s="28" t="inlineStr">
        <is>
          <t>N/A</t>
        </is>
      </c>
      <c r="V70" s="28" t="inlineStr">
        <is>
          <t>N/A</t>
        </is>
      </c>
      <c r="W70" s="28" t="inlineStr">
        <is>
          <t>Randomly spawns Skeletons in a target radius over time.</t>
        </is>
      </c>
      <c r="X70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70" s="28" t="inlineStr">
        <is>
          <t>https://www.deckshop.pro/card/stats
https://www.deckshop.pro/card/hitpoints
https://deckmelon.com/cards/graveyard
https://clashroyale.fandom.com/wiki/Graveyard</t>
        </is>
      </c>
      <c r="Z70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70" s="28" t="inlineStr">
        <is>
          <t>https://github.com/smlbiobot/cr-csv/blob/master/assets/csv_logic/characters.csv
https://github.com/smlbiobot/cr-csv/blob/master/assets/csv_logic/projectiles.csv</t>
        </is>
      </c>
      <c r="AB70" s="28" t="inlineStr">
        <is>
          <t>Damage depends on surviving Skeletons.</t>
        </is>
      </c>
      <c r="AC70" s="41" t="inlineStr">
        <is>
          <t>4.0</t>
        </is>
      </c>
      <c r="AD70" s="41" t="inlineStr">
        <is>
          <t>Skeleton spawn radius</t>
        </is>
      </c>
      <c r="AE70" s="29" t="inlineStr">
        <is>
          <t>0.5 spawned Skeletons</t>
        </is>
      </c>
      <c r="AF70" s="29" t="inlineStr">
        <is>
          <t>0.5 spawned Skeletons</t>
        </is>
      </c>
      <c r="AG70" s="29" t="inlineStr">
        <is>
          <t>N/A</t>
        </is>
      </c>
    </row>
    <row r="71" ht="36" customHeight="1" s="31">
      <c r="A71" s="45" t="n">
        <v>70</v>
      </c>
      <c r="B71" s="22" t="inlineStr">
        <is>
          <t>Cannon</t>
        </is>
      </c>
      <c r="C71" s="22" t="inlineStr">
        <is>
          <t>Building</t>
        </is>
      </c>
      <c r="D71" s="22" t="inlineStr">
        <is>
          <t>Common</t>
        </is>
      </c>
      <c r="E71" s="45" t="n">
        <v>3</v>
      </c>
      <c r="F71" s="28" t="inlineStr">
        <is>
          <t>1</t>
        </is>
      </c>
      <c r="G71" s="28" t="inlineStr">
        <is>
          <t>Ground</t>
        </is>
      </c>
      <c r="H71" s="28" t="inlineStr">
        <is>
          <t>Stationary / N/A</t>
        </is>
      </c>
      <c r="I71" s="39" t="inlineStr">
        <is>
          <t>N/A</t>
        </is>
      </c>
      <c r="J71" s="28" t="inlineStr">
        <is>
          <t>5.5</t>
        </is>
      </c>
      <c r="K71" s="28" t="n">
        <v>1</v>
      </c>
      <c r="L71" s="28" t="inlineStr">
        <is>
          <t>1.0</t>
        </is>
      </c>
      <c r="M71" s="28" t="inlineStr">
        <is>
          <t>30s</t>
        </is>
      </c>
      <c r="N71" s="28" t="inlineStr">
        <is>
          <t>824</t>
        </is>
      </c>
      <c r="O71" s="28" t="n"/>
      <c r="P71" s="28" t="inlineStr">
        <is>
          <t>212</t>
        </is>
      </c>
      <c r="Q71" s="28" t="inlineStr">
        <is>
          <t>See damage/effect note</t>
        </is>
      </c>
      <c r="R71" s="28" t="inlineStr">
        <is>
          <t>Cannon attack object</t>
        </is>
      </c>
      <c r="S71" s="28" t="inlineStr">
        <is>
          <t>1000 attack</t>
        </is>
      </c>
      <c r="T71" s="28" t="inlineStr">
        <is>
          <t>N/A</t>
        </is>
      </c>
      <c r="U71" s="28" t="n">
        <v>0.6</v>
      </c>
      <c r="V71" s="28" t="n">
        <v>5.5</v>
      </c>
      <c r="W71" s="28" t="inlineStr">
        <is>
          <t>Cheap ground-only defensive building.</t>
        </is>
      </c>
      <c r="X71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71" s="28" t="inlineStr">
        <is>
          <t>https://www.deckshop.pro/card/stats
https://www.deckshop.pro/card/hitpoints
https://deckmelon.com/cards/cannon
https://clashroyale.fandom.com/wiki/Cannon</t>
        </is>
      </c>
      <c r="Z71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71" s="28" t="inlineStr">
        <is>
          <t>https://github.com/smlbiobot/cr-csv/blob/master/assets/csv_logic/characters.csv
https://github.com/smlbiobot/cr-csv/blob/master/assets/csv_logic/projectiles.csv</t>
        </is>
      </c>
      <c r="AB71" s="28" t="inlineStr">
        <is>
          <t>Current L11 from Fandom; first hit is 1.0s and collision radius is the hidden 0.6 tile inner circle.</t>
        </is>
      </c>
      <c r="AC71" s="41" t="inlineStr">
        <is>
          <t>N/A</t>
        </is>
      </c>
      <c r="AD71" s="28" t="inlineStr">
        <is>
          <t>Single-target / no splash or AoE</t>
        </is>
      </c>
      <c r="AE71" s="46" t="n">
        <v>1</v>
      </c>
      <c r="AF71" s="46" t="n">
        <v>0</v>
      </c>
      <c r="AG71" s="46" t="inlineStr">
        <is>
          <t>N/A</t>
        </is>
      </c>
    </row>
    <row r="72" ht="36" customHeight="1" s="31">
      <c r="A72" s="45" t="n">
        <v>71</v>
      </c>
      <c r="B72" s="22" t="inlineStr">
        <is>
          <t>Mortar</t>
        </is>
      </c>
      <c r="C72" s="22" t="inlineStr">
        <is>
          <t>Building</t>
        </is>
      </c>
      <c r="D72" s="22" t="inlineStr">
        <is>
          <t>Common</t>
        </is>
      </c>
      <c r="E72" s="45" t="n">
        <v>4</v>
      </c>
      <c r="F72" s="28" t="inlineStr">
        <is>
          <t>1</t>
        </is>
      </c>
      <c r="G72" s="28" t="inlineStr">
        <is>
          <t>Ground/buildings; long-range projectile</t>
        </is>
      </c>
      <c r="H72" s="28" t="inlineStr">
        <is>
          <t>Stationary / N/A</t>
        </is>
      </c>
      <c r="I72" s="39" t="inlineStr">
        <is>
          <t>N/A</t>
        </is>
      </c>
      <c r="J72" s="28" t="inlineStr">
        <is>
          <t>11.5</t>
        </is>
      </c>
      <c r="K72" s="28" t="n">
        <v>5</v>
      </c>
      <c r="L72" s="28" t="inlineStr">
        <is>
          <t>1.0</t>
        </is>
      </c>
      <c r="M72" s="28" t="inlineStr">
        <is>
          <t>30s</t>
        </is>
      </c>
      <c r="N72" s="28" t="inlineStr">
        <is>
          <t>1,369</t>
        </is>
      </c>
      <c r="O72" s="28" t="n"/>
      <c r="P72" s="28" t="inlineStr">
        <is>
          <t>266 area</t>
        </is>
      </c>
      <c r="Q72" s="28" t="inlineStr">
        <is>
          <t>See damage/effect note</t>
        </is>
      </c>
      <c r="R72" s="28" t="inlineStr">
        <is>
          <t>Mortar attack object</t>
        </is>
      </c>
      <c r="S72" s="28" t="inlineStr">
        <is>
          <t>300 attack</t>
        </is>
      </c>
      <c r="T72" s="28" t="inlineStr">
        <is>
          <t>N/A</t>
        </is>
      </c>
      <c r="U72" s="28" t="n">
        <v>0.6</v>
      </c>
      <c r="V72" s="28" t="n">
        <v>11.5</v>
      </c>
      <c r="W72" s="28" t="inlineStr">
        <is>
          <t>Long-range siege building; blind spot/min range.</t>
        </is>
      </c>
      <c r="X72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72" s="28" t="inlineStr">
        <is>
          <t>https://www.deckshop.pro/card/stats
https://www.deckshop.pro/card/hitpoints
https://deckmelon.com/cards/mortar
https://clashroyale.fandom.com/wiki/Mortar
https://www.deckshop.pro/card/detail/mortar
https://liquipedia.net/clashroyale/Mortar</t>
        </is>
      </c>
      <c r="Z72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72" s="28" t="inlineStr">
        <is>
          <t>https://github.com/smlbiobot/cr-csv/blob/master/assets/csv_logic/characters.csv
https://github.com/smlbiobot/cr-csv/blob/master/assets/csv_logic/projectiles.csv</t>
        </is>
      </c>
      <c r="AB72" s="28" t="inlineStr">
        <is>
          <t>Updated: L11 HP/area damage verified.</t>
        </is>
      </c>
      <c r="AC72" s="41" t="inlineStr">
        <is>
          <t>2.0</t>
        </is>
      </c>
      <c r="AD72" s="28" t="inlineStr">
        <is>
          <t>Non-homing building projectile splash</t>
        </is>
      </c>
      <c r="AE72" s="46" t="n">
        <v>1</v>
      </c>
      <c r="AF72" s="46" t="n">
        <v>4</v>
      </c>
      <c r="AG72" s="46" t="inlineStr">
        <is>
          <t>N/A</t>
        </is>
      </c>
    </row>
    <row r="73" ht="36" customHeight="1" s="31">
      <c r="A73" s="45" t="n">
        <v>72</v>
      </c>
      <c r="B73" s="22" t="inlineStr">
        <is>
          <t>Tesla</t>
        </is>
      </c>
      <c r="C73" s="22" t="inlineStr">
        <is>
          <t>Building</t>
        </is>
      </c>
      <c r="D73" s="22" t="inlineStr">
        <is>
          <t>Common</t>
        </is>
      </c>
      <c r="E73" s="45" t="n">
        <v>4</v>
      </c>
      <c r="F73" s="28" t="inlineStr">
        <is>
          <t>1</t>
        </is>
      </c>
      <c r="G73" s="28" t="inlineStr">
        <is>
          <t>Air &amp; ground</t>
        </is>
      </c>
      <c r="H73" s="28" t="inlineStr">
        <is>
          <t>Stationary / N/A</t>
        </is>
      </c>
      <c r="I73" s="39" t="inlineStr">
        <is>
          <t>N/A</t>
        </is>
      </c>
      <c r="J73" s="28" t="inlineStr">
        <is>
          <t>5.5</t>
        </is>
      </c>
      <c r="K73" s="28" t="n">
        <v>1.1</v>
      </c>
      <c r="L73" s="28" t="inlineStr">
        <is>
          <t>1.0</t>
        </is>
      </c>
      <c r="M73" s="28" t="inlineStr">
        <is>
          <t>30s</t>
        </is>
      </c>
      <c r="N73" s="28" t="inlineStr">
        <is>
          <t>1,152</t>
        </is>
      </c>
      <c r="O73" s="28" t="n"/>
      <c r="P73" s="28" t="inlineStr">
        <is>
          <t>220</t>
        </is>
      </c>
      <c r="Q73" s="28" t="inlineStr">
        <is>
          <t>See damage/effect note</t>
        </is>
      </c>
      <c r="R73" s="28" t="inlineStr">
        <is>
          <t>Tesla attack object</t>
        </is>
      </c>
      <c r="S73" s="28" t="inlineStr">
        <is>
          <t>—</t>
        </is>
      </c>
      <c r="T73" s="28" t="inlineStr">
        <is>
          <t>N/A</t>
        </is>
      </c>
      <c r="U73" s="28" t="n">
        <v>0.5</v>
      </c>
      <c r="V73" s="28" t="n">
        <v>5.5</v>
      </c>
      <c r="W73" s="28" t="inlineStr">
        <is>
          <t>Hidden until attacking/triggered; air/ground.</t>
        </is>
      </c>
      <c r="X73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73" s="28" t="inlineStr">
        <is>
          <t>https://www.deckshop.pro/card/stats
https://www.deckshop.pro/card/hitpoints
https://deckmelon.com/cards/tesla
https://clashroyale.fandom.com/wiki/Tesla
https://www.deckshop.pro/card/detail/tesla</t>
        </is>
      </c>
      <c r="Z73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73" s="28" t="inlineStr">
        <is>
          <t>https://github.com/smlbiobot/cr-csv/blob/master/assets/csv_logic/characters.csv
https://github.com/smlbiobot/cr-csv/blob/master/assets/csv_logic/projectiles.csv</t>
        </is>
      </c>
      <c r="AB73" s="28" t="inlineStr">
        <is>
          <t>Updated: L11 HP/damage verified.</t>
        </is>
      </c>
      <c r="AC73" s="41" t="inlineStr">
        <is>
          <t>N/A</t>
        </is>
      </c>
      <c r="AD73" s="28" t="inlineStr">
        <is>
          <t>Single-target / no splash or AoE</t>
        </is>
      </c>
      <c r="AE73" s="46" t="n">
        <v>0.5</v>
      </c>
      <c r="AF73" s="46" t="n">
        <v>0.6</v>
      </c>
      <c r="AG73" s="46" t="inlineStr">
        <is>
          <t>N/A</t>
        </is>
      </c>
    </row>
    <row r="74" ht="36" customHeight="1" s="31">
      <c r="A74" s="45" t="n">
        <v>73</v>
      </c>
      <c r="B74" s="22" t="inlineStr">
        <is>
          <t>Goblin Hut</t>
        </is>
      </c>
      <c r="C74" s="22" t="inlineStr">
        <is>
          <t>Building</t>
        </is>
      </c>
      <c r="D74" s="22" t="inlineStr">
        <is>
          <t>Rare</t>
        </is>
      </c>
      <c r="E74" s="45" t="n">
        <v>5</v>
      </c>
      <c r="F74" s="28" t="inlineStr">
        <is>
          <t>Spawner</t>
        </is>
      </c>
      <c r="G74" s="28" t="inlineStr">
        <is>
          <t>Spawner; Spear Goblins target air &amp; ground</t>
        </is>
      </c>
      <c r="H74" s="28" t="inlineStr">
        <is>
          <t>Stationary / N/A</t>
        </is>
      </c>
      <c r="I74" s="39" t="inlineStr">
        <is>
          <t>N/A</t>
        </is>
      </c>
      <c r="J74" s="28" t="inlineStr">
        <is>
          <t>6.0</t>
        </is>
      </c>
      <c r="K74" s="28" t="inlineStr">
        <is>
          <t>N/A</t>
        </is>
      </c>
      <c r="L74" s="28" t="inlineStr">
        <is>
          <t>1.0</t>
        </is>
      </c>
      <c r="M74" s="28" t="inlineStr">
        <is>
          <t>Building lifetime</t>
        </is>
      </c>
      <c r="N74" s="28" t="inlineStr">
        <is>
          <t>1,180</t>
        </is>
      </c>
      <c r="O74" s="28" t="n"/>
      <c r="P74" s="28" t="inlineStr">
        <is>
          <t>Spawns Spear Goblins</t>
        </is>
      </c>
      <c r="Q74" s="28" t="inlineStr">
        <is>
          <t>See damage/effect note</t>
        </is>
      </c>
      <c r="R74" s="28" t="inlineStr">
        <is>
          <t>Attack projectile</t>
        </is>
      </c>
      <c r="S74" s="28" t="inlineStr">
        <is>
          <t>500 spawned Spear Goblins</t>
        </is>
      </c>
      <c r="T74" s="28" t="inlineStr">
        <is>
          <t>N/A</t>
        </is>
      </c>
      <c r="U74" s="28" t="n">
        <v>1</v>
      </c>
      <c r="V74" s="28" t="inlineStr">
        <is>
          <t>0 effective (spawner/no direct attack)</t>
        </is>
      </c>
      <c r="W74" s="28" t="inlineStr">
        <is>
          <t>Spawner building for Spear Goblins.</t>
        </is>
      </c>
      <c r="X74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74" s="28" t="inlineStr">
        <is>
          <t>https://www.deckshop.pro/card/stats
https://www.deckshop.pro/card/hitpoints
https://deckmelon.com/cards/goblin-hut
https://clashroyale.fandom.com/wiki/Goblin_Hut
https://www.deckshop.pro/cp/card/detail/goblin-hut</t>
        </is>
      </c>
      <c r="Z74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74" s="28" t="inlineStr">
        <is>
          <t>https://github.com/smlbiobot/cr-csv/blob/master/assets/csv_logic/characters.csv
https://github.com/smlbiobot/cr-csv/blob/master/assets/csv_logic/projectiles.csv</t>
        </is>
      </c>
      <c r="AB74" s="28" t="inlineStr">
        <is>
          <t>Updated: L11 HP verified; sight clarified as spawner/no direct attack.</t>
        </is>
      </c>
      <c r="AC74" s="41" t="inlineStr">
        <is>
          <t>N/A</t>
        </is>
      </c>
      <c r="AD74" s="28" t="inlineStr">
        <is>
          <t>Single-target / no splash or AoE</t>
        </is>
      </c>
      <c r="AE74" s="29" t="inlineStr">
        <is>
          <t>0.5 spawned Spear Goblins</t>
        </is>
      </c>
      <c r="AF74" s="29" t="inlineStr">
        <is>
          <t>1.2 spawned Spear Goblins</t>
        </is>
      </c>
      <c r="AG74" s="29" t="inlineStr">
        <is>
          <t>N/A</t>
        </is>
      </c>
    </row>
    <row r="75" ht="36" customHeight="1" s="31">
      <c r="A75" s="45" t="n">
        <v>74</v>
      </c>
      <c r="B75" s="22" t="inlineStr">
        <is>
          <t>Tombstone</t>
        </is>
      </c>
      <c r="C75" s="22" t="inlineStr">
        <is>
          <t>Building</t>
        </is>
      </c>
      <c r="D75" s="22" t="inlineStr">
        <is>
          <t>Rare</t>
        </is>
      </c>
      <c r="E75" s="45" t="n">
        <v>3</v>
      </c>
      <c r="F75" s="28" t="inlineStr">
        <is>
          <t>Spawner</t>
        </is>
      </c>
      <c r="G75" s="28" t="inlineStr">
        <is>
          <t>Spawner; Skeletons target ground</t>
        </is>
      </c>
      <c r="H75" s="28" t="inlineStr">
        <is>
          <t>Stationary / N/A</t>
        </is>
      </c>
      <c r="I75" s="39" t="inlineStr">
        <is>
          <t>N/A</t>
        </is>
      </c>
      <c r="J75" s="28" t="inlineStr">
        <is>
          <t>N/A</t>
        </is>
      </c>
      <c r="K75" s="28" t="inlineStr">
        <is>
          <t>N/A</t>
        </is>
      </c>
      <c r="L75" s="28" t="inlineStr">
        <is>
          <t>1.0</t>
        </is>
      </c>
      <c r="M75" s="28" t="inlineStr">
        <is>
          <t>Building lifetime</t>
        </is>
      </c>
      <c r="N75" s="28" t="inlineStr">
        <is>
          <t>529</t>
        </is>
      </c>
      <c r="O75" s="28" t="n"/>
      <c r="P75" s="28" t="inlineStr">
        <is>
          <t>Spawns Skeletons; Skeletons 81 HP / 81 damage</t>
        </is>
      </c>
      <c r="Q75" s="28" t="inlineStr">
        <is>
          <t>See damage/effect note</t>
        </is>
      </c>
      <c r="R75" s="28" t="inlineStr">
        <is>
          <t>Melee / no projectile</t>
        </is>
      </c>
      <c r="S75" s="28" t="inlineStr">
        <is>
          <t>— spawned Skeletons melee</t>
        </is>
      </c>
      <c r="T75" s="28" t="inlineStr">
        <is>
          <t>N/A</t>
        </is>
      </c>
      <c r="U75" s="28" t="n">
        <v>1</v>
      </c>
      <c r="V75" s="28" t="inlineStr">
        <is>
          <t>0 effective (spawner/no direct attack)</t>
        </is>
      </c>
      <c r="W75" s="28" t="inlineStr">
        <is>
          <t>Spawner building for Skeletons; death spawns additional Skeletons.</t>
        </is>
      </c>
      <c r="X75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75" s="28" t="inlineStr">
        <is>
          <t>https://www.deckshop.pro/card/stats
https://www.deckshop.pro/card/hitpoints
https://deckmelon.com/cards/tombstone
https://clashroyale.fandom.com/wiki/Tombstone
https://www.deckshop.pro/mk/card/detail/tombstone
https://clashroyale.fandom.com/wiki/Skeletons</t>
        </is>
      </c>
      <c r="Z75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75" s="28" t="inlineStr">
        <is>
          <t>https://github.com/smlbiobot/cr-csv/blob/master/assets/csv_logic/characters.csv
https://github.com/smlbiobot/cr-csv/blob/master/assets/csv_logic/projectiles.csv</t>
        </is>
      </c>
      <c r="AB75" s="28" t="inlineStr">
        <is>
          <t>Updated: L11 HP and spawned Skeleton stats verified.</t>
        </is>
      </c>
      <c r="AC75" s="41" t="inlineStr">
        <is>
          <t>N/A</t>
        </is>
      </c>
      <c r="AD75" s="28" t="inlineStr">
        <is>
          <t>Single-target / no splash or AoE</t>
        </is>
      </c>
      <c r="AE75" s="29" t="inlineStr">
        <is>
          <t>0.5 spawned Skeletons</t>
        </is>
      </c>
      <c r="AF75" s="29" t="inlineStr">
        <is>
          <t>0.5 spawned Skeletons</t>
        </is>
      </c>
      <c r="AG75" s="29" t="inlineStr">
        <is>
          <t>N/A</t>
        </is>
      </c>
    </row>
    <row r="76" ht="36" customHeight="1" s="31">
      <c r="A76" s="45" t="n">
        <v>75</v>
      </c>
      <c r="B76" s="22" t="inlineStr">
        <is>
          <t>Bomb Tower</t>
        </is>
      </c>
      <c r="C76" s="22" t="inlineStr">
        <is>
          <t>Building</t>
        </is>
      </c>
      <c r="D76" s="22" t="inlineStr">
        <is>
          <t>Rare</t>
        </is>
      </c>
      <c r="E76" s="45" t="n">
        <v>4</v>
      </c>
      <c r="F76" s="28" t="inlineStr">
        <is>
          <t>1</t>
        </is>
      </c>
      <c r="G76" s="28" t="inlineStr">
        <is>
          <t>Ground splash</t>
        </is>
      </c>
      <c r="H76" s="28" t="inlineStr">
        <is>
          <t>Stationary / N/A</t>
        </is>
      </c>
      <c r="I76" s="39" t="inlineStr">
        <is>
          <t>N/A</t>
        </is>
      </c>
      <c r="J76" s="28" t="inlineStr">
        <is>
          <t>6.0</t>
        </is>
      </c>
      <c r="K76" s="28" t="n">
        <v>1.6</v>
      </c>
      <c r="L76" s="28" t="inlineStr">
        <is>
          <t>1.0</t>
        </is>
      </c>
      <c r="M76" s="28" t="inlineStr">
        <is>
          <t>30s</t>
        </is>
      </c>
      <c r="N76" s="28" t="inlineStr">
        <is>
          <t>1,356</t>
        </is>
      </c>
      <c r="O76" s="28" t="n"/>
      <c r="P76" s="28" t="inlineStr">
        <is>
          <t>222 area; 222 death damage</t>
        </is>
      </c>
      <c r="Q76" s="28" t="inlineStr">
        <is>
          <t>See damage/effect note</t>
        </is>
      </c>
      <c r="R76" s="28" t="inlineStr">
        <is>
          <t>Bomb Tower attack object</t>
        </is>
      </c>
      <c r="S76" s="28" t="inlineStr">
        <is>
          <t>400 attack</t>
        </is>
      </c>
      <c r="T76" s="28" t="inlineStr">
        <is>
          <t>N/A</t>
        </is>
      </c>
      <c r="U76" s="28" t="n">
        <v>0.6</v>
      </c>
      <c r="V76" s="28" t="n">
        <v>5.5</v>
      </c>
      <c r="W76" s="28" t="inlineStr">
        <is>
          <t>Ground splash defensive building; death bomb.</t>
        </is>
      </c>
      <c r="X76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76" s="28" t="inlineStr">
        <is>
          <t>https://www.deckshop.pro/card/stats
https://www.deckshop.pro/card/hitpoints
https://deckmelon.com/cards/bomb-tower
https://clashroyale.fandom.com/wiki/Bomb_Tower
https://www.deckshop.pro/card/detail/bomb-tower</t>
        </is>
      </c>
      <c r="Z76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76" s="28" t="inlineStr">
        <is>
          <t>https://github.com/smlbiobot/cr-csv/blob/master/assets/csv_logic/characters.csv
https://github.com/smlbiobot/cr-csv/blob/master/assets/csv_logic/projectiles.csv</t>
        </is>
      </c>
      <c r="AB76" s="28" t="inlineStr">
        <is>
          <t>Updated: L11 HP/damage/death damage verified; splash radius added.</t>
        </is>
      </c>
      <c r="AC76" s="28" t="inlineStr">
        <is>
          <t>1.5 attack / 3.0 death bomb</t>
        </is>
      </c>
      <c r="AD76" s="28" t="inlineStr">
        <is>
          <t>Non-homing projectile splash plus death bomb</t>
        </is>
      </c>
      <c r="AE76" s="46" t="n">
        <v>0.5</v>
      </c>
      <c r="AF76" s="46" t="n">
        <v>1.1</v>
      </c>
      <c r="AG76" s="46" t="inlineStr">
        <is>
          <t>N/A</t>
        </is>
      </c>
    </row>
    <row r="77" ht="36" customHeight="1" s="31">
      <c r="A77" s="45" t="n">
        <v>76</v>
      </c>
      <c r="B77" s="22" t="inlineStr">
        <is>
          <t>Inferno Tower</t>
        </is>
      </c>
      <c r="C77" s="22" t="inlineStr">
        <is>
          <t>Building</t>
        </is>
      </c>
      <c r="D77" s="22" t="inlineStr">
        <is>
          <t>Rare</t>
        </is>
      </c>
      <c r="E77" s="45" t="n">
        <v>5</v>
      </c>
      <c r="F77" s="28" t="inlineStr">
        <is>
          <t>1</t>
        </is>
      </c>
      <c r="G77" s="28" t="inlineStr">
        <is>
          <t>Air &amp; ground</t>
        </is>
      </c>
      <c r="H77" s="28" t="inlineStr">
        <is>
          <t>Stationary / N/A</t>
        </is>
      </c>
      <c r="I77" s="39" t="inlineStr">
        <is>
          <t>N/A</t>
        </is>
      </c>
      <c r="J77" s="28" t="inlineStr">
        <is>
          <t>6.0</t>
        </is>
      </c>
      <c r="K77" s="28" t="n">
        <v>0.4</v>
      </c>
      <c r="L77" s="28" t="inlineStr">
        <is>
          <t>1.0</t>
        </is>
      </c>
      <c r="M77" s="28" t="inlineStr">
        <is>
          <t>30s</t>
        </is>
      </c>
      <c r="N77" s="28" t="inlineStr">
        <is>
          <t>1,748</t>
        </is>
      </c>
      <c r="O77" s="28" t="n"/>
      <c r="P77" s="28" t="inlineStr">
        <is>
          <t>43 / 158 / 847 ramping</t>
        </is>
      </c>
      <c r="Q77" s="28" t="inlineStr">
        <is>
          <t>See damage/effect note</t>
        </is>
      </c>
      <c r="R77" s="28" t="inlineStr">
        <is>
          <t>Inferno Tower attack object</t>
        </is>
      </c>
      <c r="S77" s="28" t="inlineStr">
        <is>
          <t>—</t>
        </is>
      </c>
      <c r="T77" s="28" t="inlineStr">
        <is>
          <t>N/A</t>
        </is>
      </c>
      <c r="U77" s="28" t="n">
        <v>0.6</v>
      </c>
      <c r="V77" s="28" t="n">
        <v>6</v>
      </c>
      <c r="W77" s="28" t="inlineStr">
        <is>
          <t>Ramping single-target beam; air/ground; reset-vulnerable.</t>
        </is>
      </c>
      <c r="X77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77" s="28" t="inlineStr">
        <is>
          <t>https://www.deckshop.pro/card/stats
https://www.deckshop.pro/card/hitpoints
https://deckmelon.com/cards/inferno-tower
https://clashroyale.fandom.com/wiki/Inferno_Tower</t>
        </is>
      </c>
      <c r="Z77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77" s="28" t="inlineStr">
        <is>
          <t>https://github.com/smlbiobot/cr-csv/blob/master/assets/csv_logic/characters.csv
https://github.com/smlbiobot/cr-csv/blob/master/assets/csv_logic/projectiles.csv</t>
        </is>
      </c>
      <c r="AB77" s="28" t="inlineStr">
        <is>
          <t>Current L11 from Deckmelon.</t>
        </is>
      </c>
      <c r="AC77" s="41" t="inlineStr">
        <is>
          <t>N/A</t>
        </is>
      </c>
      <c r="AD77" s="28" t="inlineStr">
        <is>
          <t>Single-target / no splash or AoE</t>
        </is>
      </c>
      <c r="AE77" s="29" t="inlineStr">
        <is>
          <t>Retargeting beam</t>
        </is>
      </c>
      <c r="AF77" s="46" t="n">
        <v>1.6</v>
      </c>
      <c r="AG77" s="46" t="inlineStr">
        <is>
          <t>N/A</t>
        </is>
      </c>
    </row>
    <row r="78" ht="36" customHeight="1" s="31">
      <c r="A78" s="45" t="n">
        <v>77</v>
      </c>
      <c r="B78" s="22" t="inlineStr">
        <is>
          <t>Barbarian Hut</t>
        </is>
      </c>
      <c r="C78" s="22" t="inlineStr">
        <is>
          <t>Building</t>
        </is>
      </c>
      <c r="D78" s="22" t="inlineStr">
        <is>
          <t>Rare</t>
        </is>
      </c>
      <c r="E78" s="45" t="n">
        <v>6</v>
      </c>
      <c r="F78" s="28" t="inlineStr">
        <is>
          <t>Spawner</t>
        </is>
      </c>
      <c r="G78" s="28" t="inlineStr">
        <is>
          <t>Spawner; Barbarians target ground</t>
        </is>
      </c>
      <c r="H78" s="28" t="inlineStr">
        <is>
          <t>Stationary / N/A</t>
        </is>
      </c>
      <c r="I78" s="39" t="inlineStr">
        <is>
          <t>N/A</t>
        </is>
      </c>
      <c r="J78" s="28" t="inlineStr">
        <is>
          <t>N/A</t>
        </is>
      </c>
      <c r="K78" s="28" t="inlineStr">
        <is>
          <t>N/A</t>
        </is>
      </c>
      <c r="L78" s="28" t="inlineStr">
        <is>
          <t>1.0</t>
        </is>
      </c>
      <c r="M78" s="28" t="inlineStr">
        <is>
          <t>30s</t>
        </is>
      </c>
      <c r="N78" s="28" t="inlineStr">
        <is>
          <t>1,164</t>
        </is>
      </c>
      <c r="O78" s="28" t="n"/>
      <c r="P78" s="28" t="inlineStr">
        <is>
          <t>Spawns Barbarians; Barbarians 670 HP / 192 damage</t>
        </is>
      </c>
      <c r="Q78" s="28" t="inlineStr">
        <is>
          <t>See damage/effect note</t>
        </is>
      </c>
      <c r="R78" s="28" t="inlineStr">
        <is>
          <t>Melee / no projectile</t>
        </is>
      </c>
      <c r="S78" s="28" t="inlineStr">
        <is>
          <t>— spawned Barbarians melee</t>
        </is>
      </c>
      <c r="T78" s="28" t="inlineStr">
        <is>
          <t>N/A</t>
        </is>
      </c>
      <c r="U78" s="28" t="n">
        <v>1</v>
      </c>
      <c r="V78" s="28" t="inlineStr">
        <is>
          <t>0 effective (spawner/no direct attack)</t>
        </is>
      </c>
      <c r="W78" s="28" t="inlineStr">
        <is>
          <t>Spawner building for Barbarians.</t>
        </is>
      </c>
      <c r="X78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78" s="28" t="inlineStr">
        <is>
          <t>https://www.deckshop.pro/card/stats
https://www.deckshop.pro/card/hitpoints
https://deckmelon.com/cards/barbarian-hut
https://clashroyale.fandom.com/wiki/Barbarian_Hut</t>
        </is>
      </c>
      <c r="Z78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78" s="28" t="inlineStr">
        <is>
          <t>https://github.com/smlbiobot/cr-csv/blob/master/assets/csv_logic/characters.csv
https://github.com/smlbiobot/cr-csv/blob/master/assets/csv_logic/projectiles.csv</t>
        </is>
      </c>
      <c r="AB78" s="28" t="inlineStr">
        <is>
          <t>Updated: L11 hut and spawned Barbarian stats verified.</t>
        </is>
      </c>
      <c r="AC78" s="41" t="inlineStr">
        <is>
          <t>N/A</t>
        </is>
      </c>
      <c r="AD78" s="28" t="inlineStr">
        <is>
          <t>Single-target / no splash or AoE</t>
        </is>
      </c>
      <c r="AE78" s="29" t="inlineStr">
        <is>
          <t>0.4 spawned Barbarians</t>
        </is>
      </c>
      <c r="AF78" s="29" t="inlineStr">
        <is>
          <t>1.0 spawned Barbarians</t>
        </is>
      </c>
      <c r="AG78" s="29" t="inlineStr">
        <is>
          <t>N/A</t>
        </is>
      </c>
    </row>
    <row r="79" ht="36" customHeight="1" s="31">
      <c r="A79" s="45" t="n">
        <v>78</v>
      </c>
      <c r="B79" s="22" t="inlineStr">
        <is>
          <t>Furnace</t>
        </is>
      </c>
      <c r="C79" s="22" t="inlineStr">
        <is>
          <t>Building</t>
        </is>
      </c>
      <c r="D79" s="22" t="inlineStr">
        <is>
          <t>Rare</t>
        </is>
      </c>
      <c r="E79" s="45" t="n">
        <v>4</v>
      </c>
      <c r="F79" s="28" t="inlineStr">
        <is>
          <t>Spawner</t>
        </is>
      </c>
      <c r="G79" s="28" t="inlineStr">
        <is>
          <t>Spawner; Fire Spirits target air &amp; ground</t>
        </is>
      </c>
      <c r="H79" s="28" t="inlineStr">
        <is>
          <t>Stationary / N/A</t>
        </is>
      </c>
      <c r="I79" s="39" t="inlineStr">
        <is>
          <t>N/A</t>
        </is>
      </c>
      <c r="J79" s="28" t="inlineStr">
        <is>
          <t>6.0</t>
        </is>
      </c>
      <c r="K79" s="28" t="inlineStr">
        <is>
          <t>N/A</t>
        </is>
      </c>
      <c r="L79" s="28" t="inlineStr">
        <is>
          <t>1.0</t>
        </is>
      </c>
      <c r="M79" s="28" t="inlineStr">
        <is>
          <t>30s</t>
        </is>
      </c>
      <c r="N79" s="28" t="inlineStr">
        <is>
          <t>896</t>
        </is>
      </c>
      <c r="O79" s="28" t="n"/>
      <c r="P79" s="28" t="inlineStr">
        <is>
          <t>Spawns Fire Spirits; Fire Spirit 135 area damage</t>
        </is>
      </c>
      <c r="Q79" s="28" t="inlineStr">
        <is>
          <t>See damage/effect note</t>
        </is>
      </c>
      <c r="R79" s="28" t="inlineStr">
        <is>
          <t>Attack projectile</t>
        </is>
      </c>
      <c r="S79" s="28" t="inlineStr">
        <is>
          <t>400 spawned Fire Spirits</t>
        </is>
      </c>
      <c r="T79" s="28" t="inlineStr">
        <is>
          <t>N/A</t>
        </is>
      </c>
      <c r="U79" s="28" t="n">
        <v>1</v>
      </c>
      <c r="V79" s="28" t="inlineStr">
        <is>
          <t>0 effective (spawner/no direct attack)</t>
        </is>
      </c>
      <c r="W79" s="28" t="inlineStr">
        <is>
          <t>Spawner building for Fire Spirits.</t>
        </is>
      </c>
      <c r="X79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79" s="28" t="inlineStr">
        <is>
          <t>https://www.deckshop.pro/card/stats
https://www.deckshop.pro/card/hitpoints
https://deckmelon.com/cards/furnace
https://clashroyale.fandom.com/wiki/Furnace
https://www.deckshop.pro/cr/card/detail/furnace</t>
        </is>
      </c>
      <c r="Z79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79" s="28" t="inlineStr">
        <is>
          <t>https://github.com/smlbiobot/cr-csv/blob/master/assets/csv_logic/characters.csv
https://github.com/smlbiobot/cr-csv/blob/master/assets/csv_logic/projectiles.csv</t>
        </is>
      </c>
      <c r="AB79" s="28" t="inlineStr">
        <is>
          <t>Updated: L11 building HP and Fire Spirit damage verified.</t>
        </is>
      </c>
      <c r="AC79" s="28" t="inlineStr">
        <is>
          <t>1.7 via spawned Fire Spirits</t>
        </is>
      </c>
      <c r="AD79" s="28" t="inlineStr">
        <is>
          <t>Spawner itself has no attack</t>
        </is>
      </c>
      <c r="AE79" s="29" t="inlineStr">
        <is>
          <t>0.2 spawned Fire Spirit</t>
        </is>
      </c>
      <c r="AF79" s="29" t="inlineStr">
        <is>
          <t>0.1 spawned Fire Spirit</t>
        </is>
      </c>
      <c r="AG79" s="29" t="inlineStr">
        <is>
          <t>N/A</t>
        </is>
      </c>
    </row>
    <row r="80" ht="36" customHeight="1" s="31">
      <c r="A80" s="45" t="n">
        <v>79</v>
      </c>
      <c r="B80" s="22" t="inlineStr">
        <is>
          <t>Elixir Collector</t>
        </is>
      </c>
      <c r="C80" s="22" t="inlineStr">
        <is>
          <t>Building</t>
        </is>
      </c>
      <c r="D80" s="22" t="inlineStr">
        <is>
          <t>Rare</t>
        </is>
      </c>
      <c r="E80" s="45" t="n">
        <v>6</v>
      </c>
      <c r="F80" s="28" t="inlineStr">
        <is>
          <t>1</t>
        </is>
      </c>
      <c r="G80" s="28" t="inlineStr">
        <is>
          <t>Resource building</t>
        </is>
      </c>
      <c r="H80" s="28" t="inlineStr">
        <is>
          <t>Stationary / N/A</t>
        </is>
      </c>
      <c r="I80" s="39" t="inlineStr">
        <is>
          <t>N/A</t>
        </is>
      </c>
      <c r="J80" s="28" t="inlineStr">
        <is>
          <t>N/A</t>
        </is>
      </c>
      <c r="K80" s="28" t="inlineStr">
        <is>
          <t>N/A</t>
        </is>
      </c>
      <c r="L80" s="28" t="inlineStr">
        <is>
          <t>1.0</t>
        </is>
      </c>
      <c r="M80" s="28" t="inlineStr">
        <is>
          <t>Resource lifetime</t>
        </is>
      </c>
      <c r="N80" s="28" t="inlineStr">
        <is>
          <t>1,070</t>
        </is>
      </c>
      <c r="O80" s="28" t="n"/>
      <c r="P80" s="28" t="inlineStr">
        <is>
          <t>Generates 1 Elixir every 13s; 8 Elixir total over lifetime</t>
        </is>
      </c>
      <c r="Q80" s="28" t="inlineStr">
        <is>
          <t>See damage/effect note</t>
        </is>
      </c>
      <c r="R80" s="28" t="inlineStr">
        <is>
          <t>Melee / no projectile</t>
        </is>
      </c>
      <c r="S80" s="28" t="inlineStr">
        <is>
          <t>—</t>
        </is>
      </c>
      <c r="T80" s="28" t="inlineStr">
        <is>
          <t>N/A</t>
        </is>
      </c>
      <c r="U80" s="28" t="n">
        <v>1</v>
      </c>
      <c r="V80" s="28" t="inlineStr">
        <is>
          <t>0 effective (passive building)</t>
        </is>
      </c>
      <c r="W80" s="28" t="inlineStr">
        <is>
          <t>Generates Elixir over time; resource building.</t>
        </is>
      </c>
      <c r="X80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80" s="28" t="inlineStr">
        <is>
          <t>https://www.deckshop.pro/card/stats
https://www.deckshop.pro/card/hitpoints
https://deckmelon.com/cards/elixir-collector
https://clashroyale.fandom.com/wiki/Elixir_Collector
https://liquipedia.net/clashroyale/Elixir_Collector</t>
        </is>
      </c>
      <c r="Z80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80" s="28" t="inlineStr">
        <is>
          <t>https://github.com/smlbiobot/cr-csv/blob/master/assets/csv_logic/characters.csv
https://github.com/smlbiobot/cr-csv/blob/master/assets/csv_logic/projectiles.csv</t>
        </is>
      </c>
      <c r="AB80" s="28" t="inlineStr">
        <is>
          <t>Updated: L11 HP and production cadence verified.</t>
        </is>
      </c>
      <c r="AC80" s="41" t="inlineStr">
        <is>
          <t>N/A</t>
        </is>
      </c>
      <c r="AD80" s="28" t="inlineStr">
        <is>
          <t>Single-target / no splash or AoE</t>
        </is>
      </c>
      <c r="AE80" s="29" t="inlineStr">
        <is>
          <t>N/A</t>
        </is>
      </c>
      <c r="AF80" s="29" t="inlineStr">
        <is>
          <t>N/A</t>
        </is>
      </c>
      <c r="AG80" s="29" t="inlineStr">
        <is>
          <t>N/A</t>
        </is>
      </c>
    </row>
    <row r="81" ht="36" customHeight="1" s="31">
      <c r="A81" s="45" t="n">
        <v>80</v>
      </c>
      <c r="B81" s="22" t="inlineStr">
        <is>
          <t>X-Bow</t>
        </is>
      </c>
      <c r="C81" s="22" t="inlineStr">
        <is>
          <t>Building</t>
        </is>
      </c>
      <c r="D81" s="22" t="inlineStr">
        <is>
          <t>Epic</t>
        </is>
      </c>
      <c r="E81" s="45" t="n">
        <v>6</v>
      </c>
      <c r="F81" s="28" t="inlineStr">
        <is>
          <t>1</t>
        </is>
      </c>
      <c r="G81" s="28" t="inlineStr">
        <is>
          <t>Ground</t>
        </is>
      </c>
      <c r="H81" s="28" t="inlineStr">
        <is>
          <t>Stationary / N/A</t>
        </is>
      </c>
      <c r="I81" s="39" t="inlineStr">
        <is>
          <t>N/A</t>
        </is>
      </c>
      <c r="J81" s="28" t="inlineStr">
        <is>
          <t>11.5</t>
        </is>
      </c>
      <c r="K81" s="28" t="n">
        <v>0.3</v>
      </c>
      <c r="L81" s="28" t="inlineStr">
        <is>
          <t>1.0</t>
        </is>
      </c>
      <c r="M81" s="28" t="inlineStr">
        <is>
          <t>30s</t>
        </is>
      </c>
      <c r="N81" s="28" t="inlineStr">
        <is>
          <t>1,600</t>
        </is>
      </c>
      <c r="O81" s="28" t="n"/>
      <c r="P81" s="28" t="inlineStr">
        <is>
          <t>43 per shot</t>
        </is>
      </c>
      <c r="Q81" s="28" t="inlineStr">
        <is>
          <t>143 DPS</t>
        </is>
      </c>
      <c r="R81" s="28" t="inlineStr">
        <is>
          <t>X-Bow attack object</t>
        </is>
      </c>
      <c r="S81" s="28" t="inlineStr">
        <is>
          <t>1400 attack</t>
        </is>
      </c>
      <c r="T81" s="28" t="inlineStr">
        <is>
          <t>N/A</t>
        </is>
      </c>
      <c r="U81" s="28" t="n">
        <v>0.6</v>
      </c>
      <c r="V81" s="28" t="n">
        <v>11.5</v>
      </c>
      <c r="W81" s="28" t="inlineStr">
        <is>
          <t>Long-range rapid-fire siege building.</t>
        </is>
      </c>
      <c r="X81" s="28" t="inlineStr">
        <is>
          <t>Level 11 public stats included where verified; hidden fields (mass/collision/sight/projectile/splash/first-load/pushback) cross-checked against AesDragon hidden-stat tables. N/A means not applicable.</t>
        </is>
      </c>
      <c r="Y81" s="28" t="inlineStr">
        <is>
          <t>https://www.deckshop.pro/card/stats
https://www.deckshop.pro/card/hitpoints
https://deckmelon.com/cards/x-bow
https://clashroyale.fandom.com/wiki/X-Bow
https://www.deckshop.pro/card/detail/x-bow
https://liquipedia.net/clashroyale/X-Bow</t>
        </is>
      </c>
      <c r="Z81" s="28" t="inlineStr">
        <is>
          <t>https://clashroyale.fandom.com/wiki/User_blog:AesDragon/Hidden_card_stats:_Mass
https://clashroyale.fandom.com/wiki/User_blog:AesDragon/Hidden_card_stats:_Collision_radius
https://clashroyale.fandom.com/wiki/User_blog:AesDragon/Hidden_card_stats:_Sight_range
https://clashroyale.fandom.com/wiki/User_blog:AesDragon/Hidden_card_stats:_Projectile_travel_speeds
https://clashroyale.fandom.com/wiki/User_blog:AesDragon/Hidden_card_stats:_Area_damage_radius
https://clashroyale.fandom.com/wiki/User_blog:AesDragon/Hidden_card_stats:_First_attack_speed
https://royaleapi.com/blog/secret-stats
https://clashroyale.fandom.com/wiki/User_blog:AesDragon/Hidden_card_stats:_Pushback_distance</t>
        </is>
      </c>
      <c r="AA81" s="28" t="inlineStr">
        <is>
          <t>https://github.com/smlbiobot/cr-csv/blob/master/assets/csv_logic/characters.csv
https://github.com/smlbiobot/cr-csv/blob/master/assets/csv_logic/projectiles.csv</t>
        </is>
      </c>
      <c r="AB81" s="28" t="inlineStr">
        <is>
          <t>Updated: L11 HP/damage verified.</t>
        </is>
      </c>
      <c r="AC81" s="41" t="inlineStr">
        <is>
          <t>N/A</t>
        </is>
      </c>
      <c r="AD81" s="28" t="inlineStr">
        <is>
          <t>Single-target / no splash or AoE</t>
        </is>
      </c>
      <c r="AE81" s="46" t="n">
        <v>0</v>
      </c>
      <c r="AF81" s="46" t="n">
        <v>0.3</v>
      </c>
      <c r="AG81" s="46" t="inlineStr">
        <is>
          <t>N/A</t>
        </is>
      </c>
    </row>
  </sheetData>
  <autoFilter ref="A1:AG81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28" customWidth="1" style="31" min="1" max="1"/>
    <col width="52" customWidth="1" style="31" min="2" max="2"/>
    <col width="80" customWidth="1" style="31" min="3" max="3"/>
  </cols>
  <sheetData>
    <row r="1" ht="42" customHeight="1" s="31">
      <c r="A1" s="8" t="inlineStr">
        <is>
          <t>Hidden / non-card-screen field</t>
        </is>
      </c>
      <c r="B1" s="8" t="inlineStr">
        <is>
          <t>Meaning in workbook</t>
        </is>
      </c>
      <c r="C1" s="8" t="inlineStr">
        <is>
          <t>Source / caveat</t>
        </is>
      </c>
    </row>
    <row r="2" ht="50" customHeight="1" s="31">
      <c r="A2" s="28" t="inlineStr">
        <is>
          <t>Movement speed number</t>
        </is>
      </c>
      <c r="B2" s="28" t="inlineStr">
        <is>
          <t>Card movement categories map to numeric speeds: Slow=45, Medium=60, Fast=90, Very Fast=120 tiles/min.</t>
        </is>
      </c>
      <c r="C2" s="28" t="inlineStr">
        <is>
          <t>Cards wiki and DeckShop speed categories.</t>
        </is>
      </c>
    </row>
    <row r="3" ht="50" customHeight="1" s="31">
      <c r="A3" s="28" t="inlineStr">
        <is>
          <t>Mass / weight</t>
        </is>
      </c>
      <c r="B3" s="28" t="inlineStr">
        <is>
          <t>Collision interaction / pushability value; lower mass is pushed around more easily. Not shown in-game.</t>
        </is>
      </c>
      <c r="C3" s="28" t="inlineStr">
        <is>
          <t>AesDragon hidden mass table; older datamine CSV cross-check.</t>
        </is>
      </c>
    </row>
    <row r="4" ht="50" customHeight="1" s="31">
      <c r="A4" s="28" t="inlineStr">
        <is>
          <t>Collision radius</t>
        </is>
      </c>
      <c r="B4" s="28" t="inlineStr">
        <is>
          <t>Approximate physical collision size in tiles. Larger units interact/target slightly earlier.</t>
        </is>
      </c>
      <c r="C4" s="28" t="inlineStr">
        <is>
          <t>AesDragon hidden collision-radius table; older datamine CSV cross-check.</t>
        </is>
      </c>
    </row>
    <row r="5" ht="50" customHeight="1" s="31">
      <c r="A5" s="28" t="inlineStr">
        <is>
          <t>Projectile speed</t>
        </is>
      </c>
      <c r="B5" s="28" t="inlineStr">
        <is>
          <t>Travel speed for ranged attacks and traveling spells in tiles/minute, where applicable.</t>
        </is>
      </c>
      <c r="C5" s="28" t="inlineStr">
        <is>
          <t>AesDragon hidden projectile-speed table; projectile datamine cross-check.</t>
        </is>
      </c>
    </row>
    <row r="6" ht="50" customHeight="1" s="31">
      <c r="A6" s="28" t="inlineStr">
        <is>
          <t>Sight range</t>
        </is>
      </c>
      <c r="B6" s="28" t="inlineStr">
        <is>
          <t>Internal aggro/target acquisition radius. Non-attacking spawners/producers are marked 0 effective.</t>
        </is>
      </c>
      <c r="C6" s="28" t="inlineStr">
        <is>
          <t>AesDragon hidden sight-range table; not an in-game UI stat.</t>
        </is>
      </c>
    </row>
    <row r="7" ht="50" customHeight="1" s="31">
      <c r="A7" s="28" t="inlineStr">
        <is>
          <t>Splash / AoE radius</t>
        </is>
      </c>
      <c r="B7" s="28" t="inlineStr">
        <is>
          <t>Radius or path size for cards that deal area damage or create a circular/linear effect. Spells use the effect radius when they deal damage/effect in an area.</t>
        </is>
      </c>
      <c r="C7" s="28" t="inlineStr">
        <is>
          <t>AesDragon hidden area-damage-radius table for non-spell attackers; spell effect radii from card stat pages.</t>
        </is>
      </c>
    </row>
    <row r="8" ht="50" customHeight="1" s="31">
      <c r="A8" s="28" t="inlineStr">
        <is>
          <t>N/A</t>
        </is>
      </c>
      <c r="B8" s="28" t="inlineStr">
        <is>
          <t>The field is not applicable to that card, not missing. Example: single-target troops have no splash radius; spells have no mass/collision.</t>
        </is>
      </c>
      <c r="C8" s="28" t="inlineStr">
        <is>
          <t>Use row source URLs for card-specific verification.</t>
        </is>
      </c>
    </row>
    <row r="9">
      <c r="A9" s="29" t="inlineStr">
        <is>
          <t>First attack speed / retarget time</t>
        </is>
      </c>
      <c r="B9" s="29" t="inlineStr">
        <is>
          <t>Fastest first attack after deployment/walking preload. Inferno cards use this concept as retargeting/cooldown timing rather than a normal first-hit scalar.</t>
        </is>
      </c>
      <c r="C9" s="29" t="inlineStr">
        <is>
          <t>Current Fandom card pages where available; otherwise AesDragon first-attack table. RoyaleAPI Secret Stats explains Hit Time, Load Time, and First Hit.</t>
        </is>
      </c>
    </row>
    <row r="10">
      <c r="A10" s="29" t="inlineStr">
        <is>
          <t>Load time</t>
        </is>
      </c>
      <c r="B10" s="29" t="inlineStr">
        <is>
          <t>Maximum amount of attack time preloaded while moving or after deployment; First Hit = Hit Time - Load Time when fully loaded.</t>
        </is>
      </c>
      <c r="C10" s="29" t="inlineStr">
        <is>
          <t>RoyaleAPI Secret Stats article and AesDragon first-attack/load-time table; current Fandom pages override stale table values.</t>
        </is>
      </c>
    </row>
    <row r="11">
      <c r="A11" s="29" t="inlineStr">
        <is>
          <t>Pushback distance</t>
        </is>
      </c>
      <c r="B11" s="29" t="inlineStr">
        <is>
          <t>Distance in tiles applied by cards with pushback. Fireball uses the current 1.0 tile value from its Fandom history rather than the older 1.8 tile hidden table value.</t>
        </is>
      </c>
      <c r="C11" s="29" t="inlineStr">
        <is>
          <t>AesDragon pushback table, with current Fandom card histories used when the older list is stale.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28" customWidth="1" style="31" min="1" max="1"/>
    <col width="42" customWidth="1" style="31" min="2" max="2"/>
    <col width="80" customWidth="1" style="31" min="3" max="3"/>
  </cols>
  <sheetData>
    <row r="1" ht="42" customHeight="1" s="31">
      <c r="A1" s="8" t="inlineStr">
        <is>
          <t>Source</t>
        </is>
      </c>
      <c r="B1" s="8" t="inlineStr">
        <is>
          <t>Use in workbook</t>
        </is>
      </c>
      <c r="C1" s="8" t="inlineStr">
        <is>
          <t>URL</t>
        </is>
      </c>
    </row>
    <row r="2" ht="42" customHeight="1" s="31">
      <c r="A2" s="28" t="inlineStr">
        <is>
          <t>Supercell 2026 anniversary season post</t>
        </is>
      </c>
      <c r="B2" s="28" t="inlineStr">
        <is>
          <t>Confirms Retro Royale tournament uses first 80 cards, capped at Level 11, with no Champions/Evolutions/Heroes.</t>
        </is>
      </c>
      <c r="C2" s="28" t="inlineStr">
        <is>
          <t>https://supercell.com/en/games/clashroyale/blog/news/new-season-10th-anniversary/</t>
        </is>
      </c>
    </row>
    <row r="3" ht="42" customHeight="1" s="31">
      <c r="A3" s="28" t="inlineStr">
        <is>
          <t>Clash Royale Wiki: Retro Royale</t>
        </is>
      </c>
      <c r="B3" s="28" t="inlineStr">
        <is>
          <t>Card-pool list used to enumerate the 80 card rows.</t>
        </is>
      </c>
      <c r="C3" s="28" t="inlineStr">
        <is>
          <t>https://clashroyale.fandom.com/wiki/Retro_Royale</t>
        </is>
      </c>
    </row>
    <row r="4" ht="42" customHeight="1" s="31">
      <c r="A4" s="28" t="inlineStr">
        <is>
          <t>DeckShop card stats</t>
        </is>
      </c>
      <c r="B4" s="28" t="inlineStr">
        <is>
          <t>Range/radius, speed categories, durations, and overview stat reference.</t>
        </is>
      </c>
      <c r="C4" s="28" t="inlineStr">
        <is>
          <t>https://www.deckshop.pro/card/stats</t>
        </is>
      </c>
    </row>
    <row r="5" ht="42" customHeight="1" s="31">
      <c r="A5" s="28" t="inlineStr">
        <is>
          <t>DeckShop hitpoints/damage</t>
        </is>
      </c>
      <c r="B5" s="28" t="inlineStr">
        <is>
          <t>Friendly level 11 HP/damage overview source; individual pages are included row-by-row.</t>
        </is>
      </c>
      <c r="C5" s="28" t="inlineStr">
        <is>
          <t>https://www.deckshop.pro/card/hitpoints</t>
        </is>
      </c>
    </row>
    <row r="6" ht="42" customHeight="1" s="31">
      <c r="A6" s="28" t="inlineStr">
        <is>
          <t>Deckmelon card pages</t>
        </is>
      </c>
      <c r="B6" s="28" t="inlineStr">
        <is>
          <t>Per-card Level 11 snippets where available; row-specific pages included in the main sheet.</t>
        </is>
      </c>
      <c r="C6" s="28" t="inlineStr">
        <is>
          <t>https://deckmelon.com/cards/</t>
        </is>
      </c>
    </row>
    <row r="7" ht="42" customHeight="1" s="31">
      <c r="A7" s="28" t="inlineStr">
        <is>
          <t>Fandom hidden stats: Mass</t>
        </is>
      </c>
      <c r="B7" s="28" t="inlineStr">
        <is>
          <t>Mass/weight definitions and table.</t>
        </is>
      </c>
      <c r="C7" s="28" t="inlineStr">
        <is>
          <t>https://clashroyale.fandom.com/wiki/User_blog:AesDragon/Hidden_card_stats:_Mass</t>
        </is>
      </c>
    </row>
    <row r="8" ht="42" customHeight="1" s="31">
      <c r="A8" s="28" t="inlineStr">
        <is>
          <t>Fandom hidden stats: Collision radius</t>
        </is>
      </c>
      <c r="B8" s="28" t="inlineStr">
        <is>
          <t>Collision radius definitions and table.</t>
        </is>
      </c>
      <c r="C8" s="28" t="inlineStr">
        <is>
          <t>https://clashroyale.fandom.com/wiki/User_blog:AesDragon/Hidden_card_stats:_Collision_radius</t>
        </is>
      </c>
    </row>
    <row r="9" ht="42" customHeight="1" s="31">
      <c r="A9" s="28" t="inlineStr">
        <is>
          <t>Fandom hidden stats: Sight range</t>
        </is>
      </c>
      <c r="B9" s="28" t="inlineStr">
        <is>
          <t>Sight range definitions and table.</t>
        </is>
      </c>
      <c r="C9" s="28" t="inlineStr">
        <is>
          <t>https://clashroyale.fandom.com/wiki/User_blog:AesDragon/Hidden_card_stats:_Sight_range</t>
        </is>
      </c>
    </row>
    <row r="10" ht="42" customHeight="1" s="31">
      <c r="A10" s="28" t="inlineStr">
        <is>
          <t>Fandom hidden stats: Projectile speed</t>
        </is>
      </c>
      <c r="B10" s="28" t="inlineStr">
        <is>
          <t>Projectile travel speed definitions and table.</t>
        </is>
      </c>
      <c r="C10" s="28" t="inlineStr">
        <is>
          <t>https://clashroyale.fandom.com/wiki/User_blog:AesDragon/Hidden_card_stats:_Projectile_travel_speeds</t>
        </is>
      </c>
    </row>
    <row r="11" ht="42" customHeight="1" s="31">
      <c r="A11" s="28" t="inlineStr">
        <is>
          <t>Fandom hidden stats: Area damage radius</t>
        </is>
      </c>
      <c r="B11" s="28" t="inlineStr">
        <is>
          <t>Splash/AoE radius table for non-spell cards; spell splash radii use effect radii from card stat pages.</t>
        </is>
      </c>
      <c r="C11" s="28" t="inlineStr">
        <is>
          <t>https://clashroyale.fandom.com/wiki/User_blog:AesDragon/Hidden_card_stats:_Area_damage_radius</t>
        </is>
      </c>
    </row>
    <row r="12">
      <c r="A12" s="28" t="inlineStr">
        <is>
          <t>smlbiobot cr-csv characters.csv</t>
        </is>
      </c>
      <c r="B12" s="28" t="inlineStr">
        <is>
          <t>Older raw hidden/game-logic data; used only as a legacy cross-check reference.</t>
        </is>
      </c>
      <c r="C12" s="28" t="inlineStr">
        <is>
          <t>https://github.com/smlbiobot/cr-csv/blob/master/assets/csv_logic/characters.csv</t>
        </is>
      </c>
    </row>
    <row r="13">
      <c r="A13" s="28" t="inlineStr">
        <is>
          <t>smlbiobot cr-csv projectiles.csv</t>
        </is>
      </c>
      <c r="B13" s="28" t="inlineStr">
        <is>
          <t>Older raw projectile data; used only as a legacy cross-check reference.</t>
        </is>
      </c>
      <c r="C13" s="28" t="inlineStr">
        <is>
          <t>https://github.com/smlbiobot/cr-csv/blob/master/assets/csv_logic/projectiles.csv</t>
        </is>
      </c>
    </row>
    <row r="14">
      <c r="A14" s="29" t="inlineStr">
        <is>
          <t>RoyaleAPI Discuss hidden-stats thread</t>
        </is>
      </c>
      <c r="B14" s="29" t="inlineStr">
        <is>
          <t>Starting index of hidden-stat articles and caveat that older Wiki hidden lists are stale.</t>
        </is>
      </c>
      <c r="C14" s="29" t="inlineStr">
        <is>
          <t>https://discuss.royaleapi.com/t/hidden-stats/3308</t>
        </is>
      </c>
    </row>
    <row r="15">
      <c r="A15" s="29" t="inlineStr">
        <is>
          <t>RoyaleAPI Secret Stats</t>
        </is>
      </c>
      <c r="B15" s="29" t="inlineStr">
        <is>
          <t>Explains Hit Time, Load Time, First Hit, deployment preload, and Sparky exception.</t>
        </is>
      </c>
      <c r="C15" s="29" t="inlineStr">
        <is>
          <t>https://royaleapi.com/blog/secret-stats</t>
        </is>
      </c>
    </row>
    <row r="16">
      <c r="A16" s="29" t="inlineStr">
        <is>
          <t>Fandom hidden stats: First attack speed</t>
        </is>
      </c>
      <c r="B16" s="29" t="inlineStr">
        <is>
          <t>First attack/load-time table used where current card pages do not expose newer values.</t>
        </is>
      </c>
      <c r="C16" s="29" t="inlineStr">
        <is>
          <t>https://clashroyale.fandom.com/wiki/User_blog:AesDragon/Hidden_card_stats:_First_attack_speed</t>
        </is>
      </c>
    </row>
    <row r="17">
      <c r="A17" s="29" t="inlineStr">
        <is>
          <t>Fandom hidden stats: Pushback distance</t>
        </is>
      </c>
      <c r="B17" s="29" t="inlineStr">
        <is>
          <t>Pushback distance table used where no newer Fandom card history overrides it.</t>
        </is>
      </c>
      <c r="C17" s="29" t="inlineStr">
        <is>
          <t>https://clashroyale.fandom.com/wiki/User_blog:AesDragon/Hidden_card_stats:_Pushback_distance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2026-06-22T17:25:04Z</dcterms:created>
  <dcterms:modified xmlns:dcterms="http://purl.org/dc/terms/" xmlns:xsi="http://www.w3.org/2001/XMLSchema-instance" xsi:type="dcterms:W3CDTF">2026-06-22T17:25:04Z</dcterms:modified>
</cp:coreProperties>
</file>